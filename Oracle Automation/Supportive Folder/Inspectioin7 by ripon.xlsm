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py\project\Oracle Automation\Supportive Folder\"/>
    </mc:Choice>
  </mc:AlternateContent>
  <xr:revisionPtr revIDLastSave="0" documentId="13_ncr:1_{9673E24E-4CCC-4295-ACCB-F7AC408AAD9C}" xr6:coauthVersionLast="47" xr6:coauthVersionMax="47" xr10:uidLastSave="{00000000-0000-0000-0000-000000000000}"/>
  <bookViews>
    <workbookView xWindow="1950" yWindow="1950" windowWidth="15375" windowHeight="7875" tabRatio="699" firstSheet="6" activeTab="7" xr2:uid="{00000000-000D-0000-FFFF-FFFF00000000}"/>
  </bookViews>
  <sheets>
    <sheet name="Imported Data" sheetId="6" r:id="rId1"/>
    <sheet name="Check Report" sheetId="7" r:id="rId2"/>
    <sheet name="Material Transaction" sheetId="8" r:id="rId3"/>
    <sheet name="Check Mat Trans" sheetId="9" r:id="rId4"/>
    <sheet name="Ledger Summery" sheetId="1" r:id="rId5"/>
    <sheet name="Check ILS" sheetId="2" r:id="rId6"/>
    <sheet name="On Hand Details" sheetId="3" r:id="rId7"/>
    <sheet name="Check OHD" sheetId="5" r:id="rId8"/>
  </sheets>
  <externalReferences>
    <externalReference r:id="rId9"/>
  </externalReferences>
  <definedNames>
    <definedName name="BurstingOracleDB">'Check Report'!$AW$13:$BK$21</definedName>
  </definedNames>
  <calcPr calcId="191029"/>
</workbook>
</file>

<file path=xl/calcChain.xml><?xml version="1.0" encoding="utf-8"?>
<calcChain xmlns="http://schemas.openxmlformats.org/spreadsheetml/2006/main">
  <c r="AC18" i="7" l="1"/>
  <c r="AB18" i="7"/>
  <c r="AA18" i="7"/>
  <c r="Z18" i="7"/>
  <c r="Y18" i="7"/>
  <c r="W18" i="7"/>
  <c r="V18" i="7"/>
  <c r="U18" i="7"/>
  <c r="T18" i="7"/>
  <c r="S18" i="7"/>
  <c r="AC17" i="7"/>
  <c r="AB17" i="7"/>
  <c r="AA17" i="7"/>
  <c r="Z17" i="7"/>
  <c r="Y17" i="7"/>
  <c r="W17" i="7"/>
  <c r="V17" i="7"/>
  <c r="U17" i="7"/>
  <c r="T17" i="7"/>
  <c r="S17" i="7"/>
  <c r="AC16" i="7"/>
  <c r="AC19" i="7" s="1"/>
  <c r="AB16" i="7"/>
  <c r="AA16" i="7"/>
  <c r="Z16" i="7"/>
  <c r="Y16" i="7"/>
  <c r="W16" i="7"/>
  <c r="W19" i="7" s="1"/>
  <c r="V16" i="7"/>
  <c r="U16" i="7"/>
  <c r="T16" i="7"/>
  <c r="S16" i="7"/>
  <c r="AC9" i="7"/>
  <c r="AB9" i="7"/>
  <c r="AA9" i="7"/>
  <c r="Z9" i="7"/>
  <c r="Y9" i="7"/>
  <c r="AD9" i="7" s="1"/>
  <c r="W9" i="7"/>
  <c r="V9" i="7"/>
  <c r="U9" i="7"/>
  <c r="T9" i="7"/>
  <c r="S9" i="7"/>
  <c r="X9" i="7" s="1"/>
  <c r="AC8" i="7"/>
  <c r="AB8" i="7"/>
  <c r="AA8" i="7"/>
  <c r="Z8" i="7"/>
  <c r="Y8" i="7"/>
  <c r="W8" i="7"/>
  <c r="V8" i="7"/>
  <c r="U8" i="7"/>
  <c r="T8" i="7"/>
  <c r="S8" i="7"/>
  <c r="AC7" i="7"/>
  <c r="AB7" i="7"/>
  <c r="AA7" i="7"/>
  <c r="Z7" i="7"/>
  <c r="Z10" i="7" s="1"/>
  <c r="Y7" i="7"/>
  <c r="W7" i="7"/>
  <c r="V7" i="7"/>
  <c r="U7" i="7"/>
  <c r="T7" i="7"/>
  <c r="T10" i="7" s="1"/>
  <c r="S7" i="7"/>
  <c r="B3" i="9"/>
  <c r="B4" i="9"/>
  <c r="B5" i="9"/>
  <c r="B6" i="9"/>
  <c r="B2" i="9"/>
  <c r="E9" i="9"/>
  <c r="E8" i="9"/>
  <c r="E7" i="9"/>
  <c r="E6" i="9"/>
  <c r="E5" i="9"/>
  <c r="E4" i="9"/>
  <c r="E3" i="9"/>
  <c r="E2" i="9"/>
  <c r="E15" i="9"/>
  <c r="E14" i="9"/>
  <c r="E13" i="9"/>
  <c r="E12" i="9"/>
  <c r="E11" i="9"/>
  <c r="E10" i="9"/>
  <c r="B102" i="5"/>
  <c r="C102" i="5" s="1"/>
  <c r="D102" i="5" s="1"/>
  <c r="E102" i="5" s="1"/>
  <c r="F102" i="5" s="1"/>
  <c r="G102" i="5" s="1"/>
  <c r="H102" i="5" s="1"/>
  <c r="I102" i="5" s="1"/>
  <c r="J102" i="5" s="1"/>
  <c r="K102" i="5" s="1"/>
  <c r="B101" i="5"/>
  <c r="C101" i="5" s="1"/>
  <c r="D101" i="5" s="1"/>
  <c r="E101" i="5" s="1"/>
  <c r="F101" i="5" s="1"/>
  <c r="G101" i="5" s="1"/>
  <c r="H101" i="5" s="1"/>
  <c r="I101" i="5" s="1"/>
  <c r="J101" i="5" s="1"/>
  <c r="K101" i="5" s="1"/>
  <c r="B100" i="5"/>
  <c r="C100" i="5" s="1"/>
  <c r="D100" i="5" s="1"/>
  <c r="E100" i="5" s="1"/>
  <c r="F100" i="5" s="1"/>
  <c r="G100" i="5" s="1"/>
  <c r="H100" i="5" s="1"/>
  <c r="I100" i="5" s="1"/>
  <c r="J100" i="5" s="1"/>
  <c r="K100" i="5" s="1"/>
  <c r="B99" i="5"/>
  <c r="C99" i="5" s="1"/>
  <c r="D99" i="5" s="1"/>
  <c r="E99" i="5" s="1"/>
  <c r="F99" i="5" s="1"/>
  <c r="G99" i="5" s="1"/>
  <c r="H99" i="5" s="1"/>
  <c r="I99" i="5" s="1"/>
  <c r="J99" i="5" s="1"/>
  <c r="K99" i="5" s="1"/>
  <c r="B98" i="5"/>
  <c r="C98" i="5" s="1"/>
  <c r="D98" i="5" s="1"/>
  <c r="E98" i="5" s="1"/>
  <c r="F98" i="5" s="1"/>
  <c r="G98" i="5" s="1"/>
  <c r="H98" i="5" s="1"/>
  <c r="I98" i="5" s="1"/>
  <c r="J98" i="5" s="1"/>
  <c r="K98" i="5" s="1"/>
  <c r="B97" i="5"/>
  <c r="C97" i="5" s="1"/>
  <c r="D97" i="5" s="1"/>
  <c r="E97" i="5" s="1"/>
  <c r="F97" i="5" s="1"/>
  <c r="G97" i="5" s="1"/>
  <c r="H97" i="5" s="1"/>
  <c r="I97" i="5" s="1"/>
  <c r="J97" i="5" s="1"/>
  <c r="K97" i="5" s="1"/>
  <c r="B96" i="5"/>
  <c r="C96" i="5" s="1"/>
  <c r="D96" i="5" s="1"/>
  <c r="E96" i="5" s="1"/>
  <c r="F96" i="5" s="1"/>
  <c r="G96" i="5" s="1"/>
  <c r="H96" i="5" s="1"/>
  <c r="I96" i="5" s="1"/>
  <c r="J96" i="5" s="1"/>
  <c r="K96" i="5" s="1"/>
  <c r="B95" i="5"/>
  <c r="C95" i="5" s="1"/>
  <c r="D95" i="5" s="1"/>
  <c r="E95" i="5" s="1"/>
  <c r="F95" i="5" s="1"/>
  <c r="G95" i="5" s="1"/>
  <c r="H95" i="5" s="1"/>
  <c r="I95" i="5" s="1"/>
  <c r="J95" i="5" s="1"/>
  <c r="K95" i="5" s="1"/>
  <c r="B94" i="5"/>
  <c r="C94" i="5" s="1"/>
  <c r="D94" i="5" s="1"/>
  <c r="E94" i="5" s="1"/>
  <c r="F94" i="5" s="1"/>
  <c r="G94" i="5" s="1"/>
  <c r="H94" i="5" s="1"/>
  <c r="I94" i="5" s="1"/>
  <c r="J94" i="5" s="1"/>
  <c r="K94" i="5" s="1"/>
  <c r="B93" i="5"/>
  <c r="C93" i="5" s="1"/>
  <c r="D93" i="5" s="1"/>
  <c r="E93" i="5" s="1"/>
  <c r="F93" i="5" s="1"/>
  <c r="G93" i="5" s="1"/>
  <c r="H93" i="5" s="1"/>
  <c r="I93" i="5" s="1"/>
  <c r="J93" i="5" s="1"/>
  <c r="K93" i="5" s="1"/>
  <c r="B92" i="5"/>
  <c r="C92" i="5" s="1"/>
  <c r="D92" i="5" s="1"/>
  <c r="E92" i="5" s="1"/>
  <c r="F92" i="5" s="1"/>
  <c r="G92" i="5" s="1"/>
  <c r="H92" i="5" s="1"/>
  <c r="I92" i="5" s="1"/>
  <c r="J92" i="5" s="1"/>
  <c r="K92" i="5" s="1"/>
  <c r="B91" i="5"/>
  <c r="C91" i="5" s="1"/>
  <c r="D91" i="5" s="1"/>
  <c r="E91" i="5" s="1"/>
  <c r="F91" i="5" s="1"/>
  <c r="G91" i="5" s="1"/>
  <c r="H91" i="5" s="1"/>
  <c r="I91" i="5" s="1"/>
  <c r="J91" i="5" s="1"/>
  <c r="K91" i="5" s="1"/>
  <c r="B90" i="5"/>
  <c r="C90" i="5" s="1"/>
  <c r="D90" i="5" s="1"/>
  <c r="E90" i="5" s="1"/>
  <c r="F90" i="5" s="1"/>
  <c r="G90" i="5" s="1"/>
  <c r="H90" i="5" s="1"/>
  <c r="I90" i="5" s="1"/>
  <c r="J90" i="5" s="1"/>
  <c r="K90" i="5" s="1"/>
  <c r="B89" i="5"/>
  <c r="C89" i="5" s="1"/>
  <c r="D89" i="5" s="1"/>
  <c r="E89" i="5" s="1"/>
  <c r="F89" i="5" s="1"/>
  <c r="G89" i="5" s="1"/>
  <c r="H89" i="5" s="1"/>
  <c r="I89" i="5" s="1"/>
  <c r="J89" i="5" s="1"/>
  <c r="K89" i="5" s="1"/>
  <c r="B88" i="5"/>
  <c r="C88" i="5" s="1"/>
  <c r="D88" i="5" s="1"/>
  <c r="E88" i="5" s="1"/>
  <c r="F88" i="5" s="1"/>
  <c r="G88" i="5" s="1"/>
  <c r="H88" i="5" s="1"/>
  <c r="I88" i="5" s="1"/>
  <c r="J88" i="5" s="1"/>
  <c r="K88" i="5" s="1"/>
  <c r="B87" i="5"/>
  <c r="C87" i="5" s="1"/>
  <c r="D87" i="5" s="1"/>
  <c r="E87" i="5" s="1"/>
  <c r="F87" i="5" s="1"/>
  <c r="G87" i="5" s="1"/>
  <c r="H87" i="5" s="1"/>
  <c r="I87" i="5" s="1"/>
  <c r="J87" i="5" s="1"/>
  <c r="K87" i="5" s="1"/>
  <c r="B86" i="5"/>
  <c r="C86" i="5" s="1"/>
  <c r="D86" i="5" s="1"/>
  <c r="E86" i="5" s="1"/>
  <c r="F86" i="5" s="1"/>
  <c r="G86" i="5" s="1"/>
  <c r="H86" i="5" s="1"/>
  <c r="I86" i="5" s="1"/>
  <c r="J86" i="5" s="1"/>
  <c r="K86" i="5" s="1"/>
  <c r="B85" i="5"/>
  <c r="C85" i="5" s="1"/>
  <c r="D85" i="5" s="1"/>
  <c r="E85" i="5" s="1"/>
  <c r="F85" i="5" s="1"/>
  <c r="G85" i="5" s="1"/>
  <c r="H85" i="5" s="1"/>
  <c r="I85" i="5" s="1"/>
  <c r="J85" i="5" s="1"/>
  <c r="K85" i="5" s="1"/>
  <c r="B84" i="5"/>
  <c r="C84" i="5" s="1"/>
  <c r="D84" i="5" s="1"/>
  <c r="E84" i="5" s="1"/>
  <c r="F84" i="5" s="1"/>
  <c r="G84" i="5" s="1"/>
  <c r="H84" i="5" s="1"/>
  <c r="I84" i="5" s="1"/>
  <c r="J84" i="5" s="1"/>
  <c r="K84" i="5" s="1"/>
  <c r="B83" i="5"/>
  <c r="C83" i="5" s="1"/>
  <c r="D83" i="5" s="1"/>
  <c r="E83" i="5" s="1"/>
  <c r="F83" i="5" s="1"/>
  <c r="G83" i="5" s="1"/>
  <c r="H83" i="5" s="1"/>
  <c r="I83" i="5" s="1"/>
  <c r="J83" i="5" s="1"/>
  <c r="K83" i="5" s="1"/>
  <c r="B82" i="5"/>
  <c r="C82" i="5" s="1"/>
  <c r="D82" i="5" s="1"/>
  <c r="E82" i="5" s="1"/>
  <c r="F82" i="5" s="1"/>
  <c r="G82" i="5" s="1"/>
  <c r="H82" i="5" s="1"/>
  <c r="I82" i="5" s="1"/>
  <c r="J82" i="5" s="1"/>
  <c r="K82" i="5" s="1"/>
  <c r="B81" i="5"/>
  <c r="C81" i="5" s="1"/>
  <c r="D81" i="5" s="1"/>
  <c r="E81" i="5" s="1"/>
  <c r="F81" i="5" s="1"/>
  <c r="G81" i="5" s="1"/>
  <c r="H81" i="5" s="1"/>
  <c r="I81" i="5" s="1"/>
  <c r="J81" i="5" s="1"/>
  <c r="K81" i="5" s="1"/>
  <c r="B80" i="5"/>
  <c r="C80" i="5" s="1"/>
  <c r="D80" i="5" s="1"/>
  <c r="E80" i="5" s="1"/>
  <c r="F80" i="5" s="1"/>
  <c r="G80" i="5" s="1"/>
  <c r="H80" i="5" s="1"/>
  <c r="I80" i="5" s="1"/>
  <c r="J80" i="5" s="1"/>
  <c r="K80" i="5" s="1"/>
  <c r="B79" i="5"/>
  <c r="C79" i="5" s="1"/>
  <c r="D79" i="5" s="1"/>
  <c r="E79" i="5" s="1"/>
  <c r="F79" i="5" s="1"/>
  <c r="G79" i="5" s="1"/>
  <c r="H79" i="5" s="1"/>
  <c r="I79" i="5" s="1"/>
  <c r="J79" i="5" s="1"/>
  <c r="K79" i="5" s="1"/>
  <c r="B78" i="5"/>
  <c r="C78" i="5" s="1"/>
  <c r="D78" i="5" s="1"/>
  <c r="E78" i="5" s="1"/>
  <c r="F78" i="5" s="1"/>
  <c r="G78" i="5" s="1"/>
  <c r="H78" i="5" s="1"/>
  <c r="I78" i="5" s="1"/>
  <c r="J78" i="5" s="1"/>
  <c r="K78" i="5" s="1"/>
  <c r="B77" i="5"/>
  <c r="C77" i="5" s="1"/>
  <c r="D77" i="5" s="1"/>
  <c r="E77" i="5" s="1"/>
  <c r="F77" i="5" s="1"/>
  <c r="G77" i="5" s="1"/>
  <c r="H77" i="5" s="1"/>
  <c r="I77" i="5" s="1"/>
  <c r="J77" i="5" s="1"/>
  <c r="K77" i="5" s="1"/>
  <c r="B76" i="5"/>
  <c r="C76" i="5" s="1"/>
  <c r="D76" i="5" s="1"/>
  <c r="E76" i="5" s="1"/>
  <c r="F76" i="5" s="1"/>
  <c r="G76" i="5" s="1"/>
  <c r="H76" i="5" s="1"/>
  <c r="I76" i="5" s="1"/>
  <c r="J76" i="5" s="1"/>
  <c r="K76" i="5" s="1"/>
  <c r="B75" i="5"/>
  <c r="C75" i="5" s="1"/>
  <c r="D75" i="5" s="1"/>
  <c r="E75" i="5" s="1"/>
  <c r="F75" i="5" s="1"/>
  <c r="G75" i="5" s="1"/>
  <c r="H75" i="5" s="1"/>
  <c r="I75" i="5" s="1"/>
  <c r="J75" i="5" s="1"/>
  <c r="K75" i="5" s="1"/>
  <c r="B74" i="5"/>
  <c r="C74" i="5" s="1"/>
  <c r="D74" i="5" s="1"/>
  <c r="E74" i="5" s="1"/>
  <c r="F74" i="5" s="1"/>
  <c r="G74" i="5" s="1"/>
  <c r="H74" i="5" s="1"/>
  <c r="I74" i="5" s="1"/>
  <c r="J74" i="5" s="1"/>
  <c r="K74" i="5" s="1"/>
  <c r="B73" i="5"/>
  <c r="C73" i="5" s="1"/>
  <c r="D73" i="5" s="1"/>
  <c r="E73" i="5" s="1"/>
  <c r="F73" i="5" s="1"/>
  <c r="G73" i="5" s="1"/>
  <c r="H73" i="5" s="1"/>
  <c r="I73" i="5" s="1"/>
  <c r="J73" i="5" s="1"/>
  <c r="K73" i="5" s="1"/>
  <c r="B72" i="5"/>
  <c r="C72" i="5" s="1"/>
  <c r="D72" i="5" s="1"/>
  <c r="E72" i="5" s="1"/>
  <c r="F72" i="5" s="1"/>
  <c r="G72" i="5" s="1"/>
  <c r="H72" i="5" s="1"/>
  <c r="I72" i="5" s="1"/>
  <c r="J72" i="5" s="1"/>
  <c r="K72" i="5" s="1"/>
  <c r="B71" i="5"/>
  <c r="C71" i="5" s="1"/>
  <c r="D71" i="5" s="1"/>
  <c r="E71" i="5" s="1"/>
  <c r="F71" i="5" s="1"/>
  <c r="G71" i="5" s="1"/>
  <c r="H71" i="5" s="1"/>
  <c r="I71" i="5" s="1"/>
  <c r="J71" i="5" s="1"/>
  <c r="K71" i="5" s="1"/>
  <c r="B70" i="5"/>
  <c r="C70" i="5" s="1"/>
  <c r="D70" i="5" s="1"/>
  <c r="E70" i="5" s="1"/>
  <c r="F70" i="5" s="1"/>
  <c r="G70" i="5" s="1"/>
  <c r="H70" i="5" s="1"/>
  <c r="I70" i="5" s="1"/>
  <c r="J70" i="5" s="1"/>
  <c r="K70" i="5" s="1"/>
  <c r="B69" i="5"/>
  <c r="C69" i="5" s="1"/>
  <c r="D69" i="5" s="1"/>
  <c r="E69" i="5" s="1"/>
  <c r="F69" i="5" s="1"/>
  <c r="G69" i="5" s="1"/>
  <c r="H69" i="5" s="1"/>
  <c r="I69" i="5" s="1"/>
  <c r="J69" i="5" s="1"/>
  <c r="K69" i="5" s="1"/>
  <c r="B68" i="5"/>
  <c r="C68" i="5" s="1"/>
  <c r="D68" i="5" s="1"/>
  <c r="E68" i="5" s="1"/>
  <c r="F68" i="5" s="1"/>
  <c r="G68" i="5" s="1"/>
  <c r="H68" i="5" s="1"/>
  <c r="I68" i="5" s="1"/>
  <c r="J68" i="5" s="1"/>
  <c r="K68" i="5" s="1"/>
  <c r="B67" i="5"/>
  <c r="C67" i="5" s="1"/>
  <c r="D67" i="5" s="1"/>
  <c r="E67" i="5" s="1"/>
  <c r="F67" i="5" s="1"/>
  <c r="G67" i="5" s="1"/>
  <c r="H67" i="5" s="1"/>
  <c r="I67" i="5" s="1"/>
  <c r="J67" i="5" s="1"/>
  <c r="K67" i="5" s="1"/>
  <c r="B66" i="5"/>
  <c r="C66" i="5" s="1"/>
  <c r="D66" i="5" s="1"/>
  <c r="E66" i="5" s="1"/>
  <c r="F66" i="5" s="1"/>
  <c r="G66" i="5" s="1"/>
  <c r="H66" i="5" s="1"/>
  <c r="I66" i="5" s="1"/>
  <c r="J66" i="5" s="1"/>
  <c r="K66" i="5" s="1"/>
  <c r="B65" i="5"/>
  <c r="C65" i="5" s="1"/>
  <c r="D65" i="5" s="1"/>
  <c r="E65" i="5" s="1"/>
  <c r="F65" i="5" s="1"/>
  <c r="G65" i="5" s="1"/>
  <c r="H65" i="5" s="1"/>
  <c r="I65" i="5" s="1"/>
  <c r="J65" i="5" s="1"/>
  <c r="K65" i="5" s="1"/>
  <c r="B64" i="5"/>
  <c r="C64" i="5" s="1"/>
  <c r="D64" i="5" s="1"/>
  <c r="E64" i="5" s="1"/>
  <c r="F64" i="5" s="1"/>
  <c r="G64" i="5" s="1"/>
  <c r="H64" i="5" s="1"/>
  <c r="I64" i="5" s="1"/>
  <c r="J64" i="5" s="1"/>
  <c r="K64" i="5" s="1"/>
  <c r="B63" i="5"/>
  <c r="C63" i="5" s="1"/>
  <c r="D63" i="5" s="1"/>
  <c r="E63" i="5" s="1"/>
  <c r="F63" i="5" s="1"/>
  <c r="G63" i="5" s="1"/>
  <c r="H63" i="5" s="1"/>
  <c r="I63" i="5" s="1"/>
  <c r="J63" i="5" s="1"/>
  <c r="K63" i="5" s="1"/>
  <c r="B62" i="5"/>
  <c r="C62" i="5" s="1"/>
  <c r="D62" i="5" s="1"/>
  <c r="E62" i="5" s="1"/>
  <c r="F62" i="5" s="1"/>
  <c r="G62" i="5" s="1"/>
  <c r="H62" i="5" s="1"/>
  <c r="I62" i="5" s="1"/>
  <c r="J62" i="5" s="1"/>
  <c r="K62" i="5" s="1"/>
  <c r="B61" i="5"/>
  <c r="C61" i="5" s="1"/>
  <c r="D61" i="5" s="1"/>
  <c r="E61" i="5" s="1"/>
  <c r="F61" i="5" s="1"/>
  <c r="G61" i="5" s="1"/>
  <c r="H61" i="5" s="1"/>
  <c r="I61" i="5" s="1"/>
  <c r="J61" i="5" s="1"/>
  <c r="K61" i="5" s="1"/>
  <c r="B60" i="5"/>
  <c r="C60" i="5" s="1"/>
  <c r="D60" i="5" s="1"/>
  <c r="E60" i="5" s="1"/>
  <c r="F60" i="5" s="1"/>
  <c r="G60" i="5" s="1"/>
  <c r="H60" i="5" s="1"/>
  <c r="I60" i="5" s="1"/>
  <c r="J60" i="5" s="1"/>
  <c r="K60" i="5" s="1"/>
  <c r="B59" i="5"/>
  <c r="C59" i="5" s="1"/>
  <c r="D59" i="5" s="1"/>
  <c r="E59" i="5" s="1"/>
  <c r="F59" i="5" s="1"/>
  <c r="G59" i="5" s="1"/>
  <c r="H59" i="5" s="1"/>
  <c r="I59" i="5" s="1"/>
  <c r="J59" i="5" s="1"/>
  <c r="K59" i="5" s="1"/>
  <c r="B58" i="5"/>
  <c r="C58" i="5" s="1"/>
  <c r="D58" i="5" s="1"/>
  <c r="E58" i="5" s="1"/>
  <c r="F58" i="5" s="1"/>
  <c r="G58" i="5" s="1"/>
  <c r="H58" i="5" s="1"/>
  <c r="I58" i="5" s="1"/>
  <c r="J58" i="5" s="1"/>
  <c r="K58" i="5" s="1"/>
  <c r="B57" i="5"/>
  <c r="C57" i="5" s="1"/>
  <c r="D57" i="5" s="1"/>
  <c r="E57" i="5" s="1"/>
  <c r="F57" i="5" s="1"/>
  <c r="G57" i="5" s="1"/>
  <c r="H57" i="5" s="1"/>
  <c r="I57" i="5" s="1"/>
  <c r="J57" i="5" s="1"/>
  <c r="K57" i="5" s="1"/>
  <c r="B56" i="5"/>
  <c r="C56" i="5" s="1"/>
  <c r="D56" i="5" s="1"/>
  <c r="E56" i="5" s="1"/>
  <c r="F56" i="5" s="1"/>
  <c r="G56" i="5" s="1"/>
  <c r="H56" i="5" s="1"/>
  <c r="I56" i="5" s="1"/>
  <c r="J56" i="5" s="1"/>
  <c r="K56" i="5" s="1"/>
  <c r="B55" i="5"/>
  <c r="C55" i="5" s="1"/>
  <c r="D55" i="5" s="1"/>
  <c r="E55" i="5" s="1"/>
  <c r="F55" i="5" s="1"/>
  <c r="G55" i="5" s="1"/>
  <c r="H55" i="5" s="1"/>
  <c r="I55" i="5" s="1"/>
  <c r="J55" i="5" s="1"/>
  <c r="K55" i="5" s="1"/>
  <c r="B54" i="5"/>
  <c r="C54" i="5" s="1"/>
  <c r="D54" i="5" s="1"/>
  <c r="E54" i="5" s="1"/>
  <c r="F54" i="5" s="1"/>
  <c r="G54" i="5" s="1"/>
  <c r="H54" i="5" s="1"/>
  <c r="I54" i="5" s="1"/>
  <c r="J54" i="5" s="1"/>
  <c r="K54" i="5" s="1"/>
  <c r="B53" i="5"/>
  <c r="C53" i="5" s="1"/>
  <c r="D53" i="5" s="1"/>
  <c r="E53" i="5" s="1"/>
  <c r="F53" i="5" s="1"/>
  <c r="G53" i="5" s="1"/>
  <c r="H53" i="5" s="1"/>
  <c r="I53" i="5" s="1"/>
  <c r="J53" i="5" s="1"/>
  <c r="K53" i="5" s="1"/>
  <c r="B52" i="5"/>
  <c r="C52" i="5" s="1"/>
  <c r="D52" i="5" s="1"/>
  <c r="E52" i="5" s="1"/>
  <c r="F52" i="5" s="1"/>
  <c r="G52" i="5" s="1"/>
  <c r="H52" i="5" s="1"/>
  <c r="I52" i="5" s="1"/>
  <c r="J52" i="5" s="1"/>
  <c r="K52" i="5" s="1"/>
  <c r="B51" i="5"/>
  <c r="C51" i="5" s="1"/>
  <c r="D51" i="5" s="1"/>
  <c r="E51" i="5" s="1"/>
  <c r="F51" i="5" s="1"/>
  <c r="G51" i="5" s="1"/>
  <c r="H51" i="5" s="1"/>
  <c r="I51" i="5" s="1"/>
  <c r="J51" i="5" s="1"/>
  <c r="K51" i="5" s="1"/>
  <c r="B50" i="5"/>
  <c r="C50" i="5" s="1"/>
  <c r="D50" i="5" s="1"/>
  <c r="E50" i="5" s="1"/>
  <c r="F50" i="5" s="1"/>
  <c r="G50" i="5" s="1"/>
  <c r="H50" i="5" s="1"/>
  <c r="I50" i="5" s="1"/>
  <c r="J50" i="5" s="1"/>
  <c r="K50" i="5" s="1"/>
  <c r="B49" i="5"/>
  <c r="C49" i="5" s="1"/>
  <c r="D49" i="5" s="1"/>
  <c r="E49" i="5" s="1"/>
  <c r="F49" i="5" s="1"/>
  <c r="G49" i="5" s="1"/>
  <c r="H49" i="5" s="1"/>
  <c r="I49" i="5" s="1"/>
  <c r="J49" i="5" s="1"/>
  <c r="K49" i="5" s="1"/>
  <c r="B48" i="5"/>
  <c r="C48" i="5" s="1"/>
  <c r="D48" i="5" s="1"/>
  <c r="E48" i="5" s="1"/>
  <c r="F48" i="5" s="1"/>
  <c r="G48" i="5" s="1"/>
  <c r="H48" i="5" s="1"/>
  <c r="I48" i="5" s="1"/>
  <c r="J48" i="5" s="1"/>
  <c r="K48" i="5" s="1"/>
  <c r="B47" i="5"/>
  <c r="C47" i="5" s="1"/>
  <c r="D47" i="5" s="1"/>
  <c r="E47" i="5" s="1"/>
  <c r="F47" i="5" s="1"/>
  <c r="G47" i="5" s="1"/>
  <c r="H47" i="5" s="1"/>
  <c r="I47" i="5" s="1"/>
  <c r="J47" i="5" s="1"/>
  <c r="K47" i="5" s="1"/>
  <c r="B46" i="5"/>
  <c r="C46" i="5" s="1"/>
  <c r="D46" i="5" s="1"/>
  <c r="E46" i="5" s="1"/>
  <c r="F46" i="5" s="1"/>
  <c r="G46" i="5" s="1"/>
  <c r="H46" i="5" s="1"/>
  <c r="I46" i="5" s="1"/>
  <c r="J46" i="5" s="1"/>
  <c r="K46" i="5" s="1"/>
  <c r="B45" i="5"/>
  <c r="C45" i="5" s="1"/>
  <c r="D45" i="5" s="1"/>
  <c r="E45" i="5" s="1"/>
  <c r="F45" i="5" s="1"/>
  <c r="G45" i="5" s="1"/>
  <c r="H45" i="5" s="1"/>
  <c r="I45" i="5" s="1"/>
  <c r="J45" i="5" s="1"/>
  <c r="K45" i="5" s="1"/>
  <c r="B44" i="5"/>
  <c r="C44" i="5" s="1"/>
  <c r="D44" i="5" s="1"/>
  <c r="E44" i="5" s="1"/>
  <c r="F44" i="5" s="1"/>
  <c r="G44" i="5" s="1"/>
  <c r="H44" i="5" s="1"/>
  <c r="I44" i="5" s="1"/>
  <c r="J44" i="5" s="1"/>
  <c r="K44" i="5" s="1"/>
  <c r="B43" i="5"/>
  <c r="C43" i="5" s="1"/>
  <c r="D43" i="5" s="1"/>
  <c r="E43" i="5" s="1"/>
  <c r="F43" i="5" s="1"/>
  <c r="G43" i="5" s="1"/>
  <c r="H43" i="5" s="1"/>
  <c r="I43" i="5" s="1"/>
  <c r="J43" i="5" s="1"/>
  <c r="K43" i="5" s="1"/>
  <c r="B42" i="5"/>
  <c r="C42" i="5" s="1"/>
  <c r="D42" i="5" s="1"/>
  <c r="E42" i="5" s="1"/>
  <c r="F42" i="5" s="1"/>
  <c r="G42" i="5" s="1"/>
  <c r="H42" i="5" s="1"/>
  <c r="I42" i="5" s="1"/>
  <c r="J42" i="5" s="1"/>
  <c r="K42" i="5" s="1"/>
  <c r="B41" i="5"/>
  <c r="C41" i="5" s="1"/>
  <c r="D41" i="5" s="1"/>
  <c r="E41" i="5" s="1"/>
  <c r="F41" i="5" s="1"/>
  <c r="G41" i="5" s="1"/>
  <c r="H41" i="5" s="1"/>
  <c r="I41" i="5" s="1"/>
  <c r="J41" i="5" s="1"/>
  <c r="K41" i="5" s="1"/>
  <c r="B40" i="5"/>
  <c r="C40" i="5" s="1"/>
  <c r="D40" i="5" s="1"/>
  <c r="E40" i="5" s="1"/>
  <c r="F40" i="5" s="1"/>
  <c r="G40" i="5" s="1"/>
  <c r="H40" i="5" s="1"/>
  <c r="I40" i="5" s="1"/>
  <c r="J40" i="5" s="1"/>
  <c r="K40" i="5" s="1"/>
  <c r="B39" i="5"/>
  <c r="C39" i="5" s="1"/>
  <c r="D39" i="5" s="1"/>
  <c r="E39" i="5" s="1"/>
  <c r="F39" i="5" s="1"/>
  <c r="G39" i="5" s="1"/>
  <c r="H39" i="5" s="1"/>
  <c r="I39" i="5" s="1"/>
  <c r="J39" i="5" s="1"/>
  <c r="K39" i="5" s="1"/>
  <c r="B38" i="5"/>
  <c r="C38" i="5" s="1"/>
  <c r="D38" i="5" s="1"/>
  <c r="E38" i="5" s="1"/>
  <c r="F38" i="5" s="1"/>
  <c r="G38" i="5" s="1"/>
  <c r="H38" i="5" s="1"/>
  <c r="I38" i="5" s="1"/>
  <c r="J38" i="5" s="1"/>
  <c r="K38" i="5" s="1"/>
  <c r="B37" i="5"/>
  <c r="C37" i="5" s="1"/>
  <c r="D37" i="5" s="1"/>
  <c r="E37" i="5" s="1"/>
  <c r="F37" i="5" s="1"/>
  <c r="G37" i="5" s="1"/>
  <c r="H37" i="5" s="1"/>
  <c r="I37" i="5" s="1"/>
  <c r="J37" i="5" s="1"/>
  <c r="K37" i="5" s="1"/>
  <c r="B36" i="5"/>
  <c r="C36" i="5" s="1"/>
  <c r="D36" i="5" s="1"/>
  <c r="E36" i="5" s="1"/>
  <c r="F36" i="5" s="1"/>
  <c r="G36" i="5" s="1"/>
  <c r="H36" i="5" s="1"/>
  <c r="I36" i="5" s="1"/>
  <c r="J36" i="5" s="1"/>
  <c r="K36" i="5" s="1"/>
  <c r="B35" i="5"/>
  <c r="C35" i="5" s="1"/>
  <c r="D35" i="5" s="1"/>
  <c r="E35" i="5" s="1"/>
  <c r="F35" i="5" s="1"/>
  <c r="G35" i="5" s="1"/>
  <c r="H35" i="5" s="1"/>
  <c r="I35" i="5" s="1"/>
  <c r="J35" i="5" s="1"/>
  <c r="K35" i="5" s="1"/>
  <c r="B34" i="5"/>
  <c r="C34" i="5" s="1"/>
  <c r="D34" i="5" s="1"/>
  <c r="E34" i="5" s="1"/>
  <c r="F34" i="5" s="1"/>
  <c r="G34" i="5" s="1"/>
  <c r="H34" i="5" s="1"/>
  <c r="I34" i="5" s="1"/>
  <c r="J34" i="5" s="1"/>
  <c r="K34" i="5" s="1"/>
  <c r="B33" i="5"/>
  <c r="C33" i="5" s="1"/>
  <c r="D33" i="5" s="1"/>
  <c r="E33" i="5" s="1"/>
  <c r="F33" i="5" s="1"/>
  <c r="G33" i="5" s="1"/>
  <c r="H33" i="5" s="1"/>
  <c r="I33" i="5" s="1"/>
  <c r="J33" i="5" s="1"/>
  <c r="K33" i="5" s="1"/>
  <c r="B32" i="5"/>
  <c r="C32" i="5" s="1"/>
  <c r="D32" i="5" s="1"/>
  <c r="E32" i="5" s="1"/>
  <c r="F32" i="5" s="1"/>
  <c r="G32" i="5" s="1"/>
  <c r="H32" i="5" s="1"/>
  <c r="I32" i="5" s="1"/>
  <c r="J32" i="5" s="1"/>
  <c r="K32" i="5" s="1"/>
  <c r="B31" i="5"/>
  <c r="C31" i="5" s="1"/>
  <c r="D31" i="5" s="1"/>
  <c r="E31" i="5" s="1"/>
  <c r="F31" i="5" s="1"/>
  <c r="G31" i="5" s="1"/>
  <c r="H31" i="5" s="1"/>
  <c r="I31" i="5" s="1"/>
  <c r="J31" i="5" s="1"/>
  <c r="K31" i="5" s="1"/>
  <c r="B30" i="5"/>
  <c r="C30" i="5" s="1"/>
  <c r="D30" i="5" s="1"/>
  <c r="E30" i="5" s="1"/>
  <c r="F30" i="5" s="1"/>
  <c r="G30" i="5" s="1"/>
  <c r="H30" i="5" s="1"/>
  <c r="I30" i="5" s="1"/>
  <c r="J30" i="5" s="1"/>
  <c r="K30" i="5" s="1"/>
  <c r="B29" i="5"/>
  <c r="C29" i="5" s="1"/>
  <c r="D29" i="5" s="1"/>
  <c r="E29" i="5" s="1"/>
  <c r="F29" i="5" s="1"/>
  <c r="G29" i="5" s="1"/>
  <c r="H29" i="5" s="1"/>
  <c r="I29" i="5" s="1"/>
  <c r="J29" i="5" s="1"/>
  <c r="K29" i="5" s="1"/>
  <c r="N8" i="5"/>
  <c r="H5" i="5"/>
  <c r="D5" i="5"/>
  <c r="L2" i="5"/>
  <c r="BK1" i="5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B21" i="2"/>
  <c r="B20" i="2"/>
  <c r="B19" i="2"/>
  <c r="B18" i="2"/>
  <c r="B17" i="2"/>
  <c r="G13" i="2"/>
  <c r="F13" i="2"/>
  <c r="E13" i="2"/>
  <c r="D13" i="2"/>
  <c r="G4" i="9" s="1"/>
  <c r="C13" i="2"/>
  <c r="B13" i="2"/>
  <c r="G12" i="2"/>
  <c r="F12" i="2"/>
  <c r="E12" i="2"/>
  <c r="G3" i="9" s="1"/>
  <c r="D12" i="2"/>
  <c r="C12" i="2"/>
  <c r="B12" i="2"/>
  <c r="G11" i="2"/>
  <c r="F11" i="2"/>
  <c r="E11" i="2"/>
  <c r="D11" i="2"/>
  <c r="G5" i="9" s="1"/>
  <c r="C11" i="2"/>
  <c r="B11" i="2"/>
  <c r="G10" i="2"/>
  <c r="F10" i="2"/>
  <c r="E10" i="2"/>
  <c r="D10" i="2"/>
  <c r="G6" i="9" s="1"/>
  <c r="C10" i="2"/>
  <c r="B10" i="2"/>
  <c r="G9" i="2"/>
  <c r="F9" i="2"/>
  <c r="E9" i="2"/>
  <c r="D9" i="2"/>
  <c r="G2" i="9" s="1"/>
  <c r="C9" i="2"/>
  <c r="B9" i="2"/>
  <c r="J6" i="2"/>
  <c r="I6" i="2"/>
  <c r="B6" i="2"/>
  <c r="G21" i="2" s="1"/>
  <c r="A6" i="2"/>
  <c r="C18" i="2" s="1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BK20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BK19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BK17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BK16" i="7"/>
  <c r="BK13" i="7" s="1"/>
  <c r="BJ16" i="7"/>
  <c r="BJ13" i="7" s="1"/>
  <c r="BI16" i="7"/>
  <c r="BI13" i="7" s="1"/>
  <c r="BH16" i="7"/>
  <c r="BG16" i="7"/>
  <c r="BF16" i="7"/>
  <c r="BE16" i="7"/>
  <c r="BE13" i="7" s="1"/>
  <c r="BD16" i="7"/>
  <c r="BD13" i="7" s="1"/>
  <c r="BC16" i="7"/>
  <c r="BC13" i="7" s="1"/>
  <c r="BB16" i="7"/>
  <c r="BA16" i="7"/>
  <c r="AZ16" i="7"/>
  <c r="AY16" i="7"/>
  <c r="AY13" i="7" s="1"/>
  <c r="AX16" i="7"/>
  <c r="AW16" i="7"/>
  <c r="Q16" i="7"/>
  <c r="A16" i="7"/>
  <c r="AA15" i="7"/>
  <c r="Z15" i="7"/>
  <c r="Y15" i="7"/>
  <c r="X15" i="7"/>
  <c r="W15" i="7"/>
  <c r="V15" i="7"/>
  <c r="U15" i="7"/>
  <c r="T15" i="7"/>
  <c r="S15" i="7"/>
  <c r="N15" i="7"/>
  <c r="AD15" i="7" s="1"/>
  <c r="M15" i="7"/>
  <c r="AC15" i="7" s="1"/>
  <c r="L15" i="7"/>
  <c r="AB15" i="7" s="1"/>
  <c r="K15" i="7"/>
  <c r="J15" i="7"/>
  <c r="I15" i="7"/>
  <c r="BK14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BF13" i="7"/>
  <c r="AZ13" i="7"/>
  <c r="Q7" i="7"/>
  <c r="A7" i="7"/>
  <c r="AC6" i="7"/>
  <c r="AB6" i="7"/>
  <c r="X6" i="7"/>
  <c r="W6" i="7"/>
  <c r="V6" i="7"/>
  <c r="U6" i="7"/>
  <c r="T6" i="7"/>
  <c r="S6" i="7"/>
  <c r="N6" i="7"/>
  <c r="M6" i="7"/>
  <c r="L6" i="7"/>
  <c r="K6" i="7"/>
  <c r="AA6" i="7" s="1"/>
  <c r="J6" i="7"/>
  <c r="Z6" i="7" s="1"/>
  <c r="I6" i="7"/>
  <c r="Y6" i="7" s="1"/>
  <c r="AE5" i="7"/>
  <c r="AD5" i="7"/>
  <c r="Z5" i="7"/>
  <c r="Y5" i="7"/>
  <c r="X5" i="7"/>
  <c r="W5" i="7"/>
  <c r="V5" i="7"/>
  <c r="U5" i="7"/>
  <c r="T5" i="7"/>
  <c r="S5" i="7"/>
  <c r="M5" i="7"/>
  <c r="AC5" i="7" s="1"/>
  <c r="L5" i="7"/>
  <c r="AB5" i="7" s="1"/>
  <c r="K5" i="7"/>
  <c r="J5" i="7"/>
  <c r="I5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J9" i="7"/>
  <c r="F7" i="7"/>
  <c r="E7" i="7"/>
  <c r="G9" i="7"/>
  <c r="L7" i="7"/>
  <c r="N7" i="7"/>
  <c r="D8" i="7"/>
  <c r="H8" i="7"/>
  <c r="N9" i="7"/>
  <c r="H9" i="7"/>
  <c r="G8" i="7"/>
  <c r="K8" i="7"/>
  <c r="N8" i="7"/>
  <c r="I9" i="7"/>
  <c r="C8" i="7"/>
  <c r="M8" i="7"/>
  <c r="D9" i="7"/>
  <c r="F8" i="7"/>
  <c r="H7" i="7"/>
  <c r="J7" i="7"/>
  <c r="F9" i="7"/>
  <c r="D7" i="7"/>
  <c r="K7" i="7"/>
  <c r="E8" i="7"/>
  <c r="J8" i="7"/>
  <c r="E9" i="7"/>
  <c r="K9" i="7"/>
  <c r="C9" i="7"/>
  <c r="C7" i="7"/>
  <c r="G7" i="7"/>
  <c r="L8" i="7"/>
  <c r="G18" i="2" l="1"/>
  <c r="C19" i="2"/>
  <c r="G19" i="2"/>
  <c r="G20" i="2"/>
  <c r="G17" i="2"/>
  <c r="C21" i="2"/>
  <c r="AE9" i="7"/>
  <c r="B23" i="5"/>
  <c r="C23" i="5" s="1"/>
  <c r="D23" i="5" s="1"/>
  <c r="E23" i="5" s="1"/>
  <c r="F23" i="5" s="1"/>
  <c r="G23" i="5" s="1"/>
  <c r="H23" i="5" s="1"/>
  <c r="I23" i="5" s="1"/>
  <c r="J23" i="5" s="1"/>
  <c r="K23" i="5" s="1"/>
  <c r="B12" i="5"/>
  <c r="C12" i="5" s="1"/>
  <c r="D12" i="5" s="1"/>
  <c r="E12" i="5" s="1"/>
  <c r="F12" i="5" s="1"/>
  <c r="G12" i="5" s="1"/>
  <c r="H12" i="5" s="1"/>
  <c r="I12" i="5" s="1"/>
  <c r="N12" i="5" s="1"/>
  <c r="AK8" i="7"/>
  <c r="AQ8" i="7"/>
  <c r="AM9" i="7"/>
  <c r="E10" i="7"/>
  <c r="AH9" i="7"/>
  <c r="K10" i="7"/>
  <c r="AN9" i="7"/>
  <c r="O8" i="7"/>
  <c r="G10" i="7"/>
  <c r="F10" i="7"/>
  <c r="H10" i="7"/>
  <c r="O7" i="7"/>
  <c r="N10" i="7"/>
  <c r="C10" i="7"/>
  <c r="AG7" i="7"/>
  <c r="O9" i="7"/>
  <c r="AL9" i="7"/>
  <c r="AR9" i="7"/>
  <c r="D10" i="7"/>
  <c r="AH10" i="7" s="1"/>
  <c r="AH7" i="7"/>
  <c r="J10" i="7"/>
  <c r="AN10" i="7" s="1"/>
  <c r="AN7" i="7"/>
  <c r="AJ8" i="7"/>
  <c r="AP8" i="7"/>
  <c r="AG9" i="7"/>
  <c r="AD6" i="7"/>
  <c r="O6" i="7"/>
  <c r="AE6" i="7" s="1"/>
  <c r="AD7" i="7"/>
  <c r="AD10" i="7" s="1"/>
  <c r="Y10" i="7"/>
  <c r="E18" i="7"/>
  <c r="J18" i="7"/>
  <c r="J16" i="7"/>
  <c r="I18" i="7"/>
  <c r="I17" i="7"/>
  <c r="K17" i="7"/>
  <c r="AO17" i="7" s="1"/>
  <c r="F18" i="7"/>
  <c r="J17" i="7"/>
  <c r="C18" i="7"/>
  <c r="C16" i="7"/>
  <c r="X7" i="7"/>
  <c r="AL7" i="7" s="1"/>
  <c r="S10" i="7"/>
  <c r="AA5" i="7"/>
  <c r="U10" i="7"/>
  <c r="AA10" i="7"/>
  <c r="AI9" i="7"/>
  <c r="AO9" i="7"/>
  <c r="BB13" i="7"/>
  <c r="BH13" i="7"/>
  <c r="X17" i="7"/>
  <c r="AD17" i="7"/>
  <c r="X18" i="7"/>
  <c r="B11" i="5"/>
  <c r="C11" i="5" s="1"/>
  <c r="D11" i="5" s="1"/>
  <c r="E11" i="5" s="1"/>
  <c r="F11" i="5" s="1"/>
  <c r="G11" i="5" s="1"/>
  <c r="H11" i="5" s="1"/>
  <c r="I11" i="5" s="1"/>
  <c r="BA13" i="7"/>
  <c r="L18" i="7" s="1"/>
  <c r="V10" i="7"/>
  <c r="AB10" i="7"/>
  <c r="X8" i="7"/>
  <c r="AD8" i="7"/>
  <c r="AR8" i="7" s="1"/>
  <c r="AJ9" i="7"/>
  <c r="O15" i="7"/>
  <c r="AE15" i="7" s="1"/>
  <c r="T19" i="7"/>
  <c r="Z19" i="7"/>
  <c r="J7" i="2"/>
  <c r="B24" i="5"/>
  <c r="C24" i="5" s="1"/>
  <c r="D24" i="5" s="1"/>
  <c r="E24" i="5" s="1"/>
  <c r="F24" i="5" s="1"/>
  <c r="G24" i="5" s="1"/>
  <c r="H24" i="5" s="1"/>
  <c r="I24" i="5" s="1"/>
  <c r="J24" i="5" s="1"/>
  <c r="K24" i="5" s="1"/>
  <c r="W10" i="7"/>
  <c r="AC10" i="7"/>
  <c r="AH8" i="7"/>
  <c r="AN8" i="7"/>
  <c r="AK9" i="7"/>
  <c r="U19" i="7"/>
  <c r="AA19" i="7"/>
  <c r="B21" i="5"/>
  <c r="C21" i="5" s="1"/>
  <c r="D21" i="5" s="1"/>
  <c r="E21" i="5" s="1"/>
  <c r="F21" i="5" s="1"/>
  <c r="G21" i="5" s="1"/>
  <c r="H21" i="5" s="1"/>
  <c r="I21" i="5" s="1"/>
  <c r="J21" i="5" s="1"/>
  <c r="K21" i="5" s="1"/>
  <c r="B25" i="5"/>
  <c r="C25" i="5" s="1"/>
  <c r="D25" i="5" s="1"/>
  <c r="E25" i="5" s="1"/>
  <c r="F25" i="5" s="1"/>
  <c r="G25" i="5" s="1"/>
  <c r="H25" i="5" s="1"/>
  <c r="I25" i="5" s="1"/>
  <c r="J25" i="5" s="1"/>
  <c r="K25" i="5" s="1"/>
  <c r="BG13" i="7"/>
  <c r="M18" i="7" s="1"/>
  <c r="AQ18" i="7" s="1"/>
  <c r="AI8" i="7"/>
  <c r="AO8" i="7"/>
  <c r="V19" i="7"/>
  <c r="AB19" i="7"/>
  <c r="AD18" i="7"/>
  <c r="I7" i="2"/>
  <c r="B10" i="5"/>
  <c r="C10" i="5" s="1"/>
  <c r="D10" i="5" s="1"/>
  <c r="E10" i="5" s="1"/>
  <c r="F10" i="5" s="1"/>
  <c r="G10" i="5" s="1"/>
  <c r="H10" i="5" s="1"/>
  <c r="I10" i="5" s="1"/>
  <c r="B28" i="5"/>
  <c r="C28" i="5" s="1"/>
  <c r="D28" i="5" s="1"/>
  <c r="E28" i="5" s="1"/>
  <c r="F28" i="5" s="1"/>
  <c r="G28" i="5" s="1"/>
  <c r="H28" i="5" s="1"/>
  <c r="I28" i="5" s="1"/>
  <c r="J28" i="5" s="1"/>
  <c r="K28" i="5" s="1"/>
  <c r="B9" i="5"/>
  <c r="C9" i="5" s="1"/>
  <c r="D9" i="5" s="1"/>
  <c r="E9" i="5" s="1"/>
  <c r="F9" i="5" s="1"/>
  <c r="G9" i="5" s="1"/>
  <c r="H9" i="5" s="1"/>
  <c r="I9" i="5" s="1"/>
  <c r="B20" i="5"/>
  <c r="C20" i="5" s="1"/>
  <c r="D20" i="5" s="1"/>
  <c r="E20" i="5" s="1"/>
  <c r="F20" i="5" s="1"/>
  <c r="G20" i="5" s="1"/>
  <c r="H20" i="5" s="1"/>
  <c r="I20" i="5" s="1"/>
  <c r="J20" i="5" s="1"/>
  <c r="K20" i="5" s="1"/>
  <c r="B26" i="5"/>
  <c r="C26" i="5" s="1"/>
  <c r="D26" i="5" s="1"/>
  <c r="E26" i="5" s="1"/>
  <c r="F26" i="5" s="1"/>
  <c r="G26" i="5" s="1"/>
  <c r="H26" i="5" s="1"/>
  <c r="I26" i="5" s="1"/>
  <c r="J26" i="5" s="1"/>
  <c r="K26" i="5" s="1"/>
  <c r="B14" i="5"/>
  <c r="C14" i="5" s="1"/>
  <c r="D14" i="5" s="1"/>
  <c r="E14" i="5" s="1"/>
  <c r="F14" i="5" s="1"/>
  <c r="G14" i="5" s="1"/>
  <c r="H14" i="5" s="1"/>
  <c r="I14" i="5" s="1"/>
  <c r="J14" i="5" s="1"/>
  <c r="K14" i="5" s="1"/>
  <c r="B15" i="5"/>
  <c r="C15" i="5" s="1"/>
  <c r="D15" i="5" s="1"/>
  <c r="E15" i="5" s="1"/>
  <c r="F15" i="5" s="1"/>
  <c r="G15" i="5" s="1"/>
  <c r="H15" i="5" s="1"/>
  <c r="I15" i="5" s="1"/>
  <c r="J15" i="5" s="1"/>
  <c r="K15" i="5" s="1"/>
  <c r="B16" i="5"/>
  <c r="C16" i="5" s="1"/>
  <c r="D16" i="5" s="1"/>
  <c r="E16" i="5" s="1"/>
  <c r="F16" i="5" s="1"/>
  <c r="G16" i="5" s="1"/>
  <c r="H16" i="5" s="1"/>
  <c r="I16" i="5" s="1"/>
  <c r="J16" i="5" s="1"/>
  <c r="K16" i="5" s="1"/>
  <c r="B17" i="5"/>
  <c r="C17" i="5" s="1"/>
  <c r="D17" i="5" s="1"/>
  <c r="E17" i="5" s="1"/>
  <c r="F17" i="5" s="1"/>
  <c r="G17" i="5" s="1"/>
  <c r="H17" i="5" s="1"/>
  <c r="I17" i="5" s="1"/>
  <c r="J17" i="5" s="1"/>
  <c r="K17" i="5" s="1"/>
  <c r="B18" i="5"/>
  <c r="C18" i="5" s="1"/>
  <c r="D18" i="5" s="1"/>
  <c r="E18" i="5" s="1"/>
  <c r="F18" i="5" s="1"/>
  <c r="G18" i="5" s="1"/>
  <c r="H18" i="5" s="1"/>
  <c r="I18" i="5" s="1"/>
  <c r="J18" i="5" s="1"/>
  <c r="K18" i="5" s="1"/>
  <c r="B19" i="5"/>
  <c r="C19" i="5" s="1"/>
  <c r="D19" i="5" s="1"/>
  <c r="E19" i="5" s="1"/>
  <c r="F19" i="5" s="1"/>
  <c r="G19" i="5" s="1"/>
  <c r="H19" i="5" s="1"/>
  <c r="I19" i="5" s="1"/>
  <c r="B27" i="5"/>
  <c r="C27" i="5" s="1"/>
  <c r="D27" i="5" s="1"/>
  <c r="E27" i="5" s="1"/>
  <c r="F27" i="5" s="1"/>
  <c r="G27" i="5" s="1"/>
  <c r="H27" i="5" s="1"/>
  <c r="I27" i="5" s="1"/>
  <c r="J27" i="5" s="1"/>
  <c r="K27" i="5" s="1"/>
  <c r="B13" i="5"/>
  <c r="C13" i="5" s="1"/>
  <c r="D13" i="5" s="1"/>
  <c r="E13" i="5" s="1"/>
  <c r="F13" i="5" s="1"/>
  <c r="G13" i="5" s="1"/>
  <c r="H13" i="5" s="1"/>
  <c r="I13" i="5" s="1"/>
  <c r="B22" i="5"/>
  <c r="C22" i="5" s="1"/>
  <c r="D22" i="5" s="1"/>
  <c r="E22" i="5" s="1"/>
  <c r="F22" i="5" s="1"/>
  <c r="G22" i="5" s="1"/>
  <c r="H22" i="5" s="1"/>
  <c r="I22" i="5" s="1"/>
  <c r="J22" i="5" s="1"/>
  <c r="K22" i="5" s="1"/>
  <c r="M9" i="7"/>
  <c r="I8" i="7"/>
  <c r="I7" i="7"/>
  <c r="M7" i="7"/>
  <c r="L9" i="7"/>
  <c r="AS9" i="7" l="1"/>
  <c r="AI7" i="7"/>
  <c r="AE8" i="7"/>
  <c r="AS8" i="7" s="1"/>
  <c r="AN17" i="7"/>
  <c r="AN18" i="7"/>
  <c r="J12" i="5"/>
  <c r="K12" i="5" s="1"/>
  <c r="AJ18" i="7"/>
  <c r="AI18" i="7"/>
  <c r="AP18" i="7"/>
  <c r="AK10" i="7"/>
  <c r="AK7" i="7"/>
  <c r="AI10" i="7"/>
  <c r="AM8" i="7"/>
  <c r="AP9" i="7"/>
  <c r="L10" i="7"/>
  <c r="AP10" i="7" s="1"/>
  <c r="I10" i="7"/>
  <c r="AM10" i="7" s="1"/>
  <c r="AM7" i="7"/>
  <c r="AQ9" i="7"/>
  <c r="AQ7" i="7"/>
  <c r="M10" i="7"/>
  <c r="AQ10" i="7" s="1"/>
  <c r="AD16" i="7"/>
  <c r="AD19" i="7" s="1"/>
  <c r="Y19" i="7"/>
  <c r="H16" i="7"/>
  <c r="AG16" i="7"/>
  <c r="AL8" i="7"/>
  <c r="D16" i="7"/>
  <c r="C17" i="7"/>
  <c r="AE18" i="7"/>
  <c r="X10" i="7"/>
  <c r="AL10" i="7" s="1"/>
  <c r="AE7" i="7"/>
  <c r="E16" i="7"/>
  <c r="F16" i="7"/>
  <c r="M16" i="7"/>
  <c r="D18" i="7"/>
  <c r="AH18" i="7" s="1"/>
  <c r="AR7" i="7"/>
  <c r="AJ7" i="7"/>
  <c r="AO10" i="7"/>
  <c r="S19" i="7"/>
  <c r="X16" i="7"/>
  <c r="AM17" i="7"/>
  <c r="J19" i="7"/>
  <c r="AN19" i="7" s="1"/>
  <c r="AN16" i="7"/>
  <c r="G16" i="7"/>
  <c r="AO7" i="7"/>
  <c r="N13" i="5"/>
  <c r="J13" i="5"/>
  <c r="K13" i="5" s="1"/>
  <c r="J10" i="5"/>
  <c r="K10" i="5" s="1"/>
  <c r="N10" i="5"/>
  <c r="N11" i="5"/>
  <c r="J11" i="5"/>
  <c r="K11" i="5" s="1"/>
  <c r="K16" i="7"/>
  <c r="L16" i="7"/>
  <c r="F17" i="7"/>
  <c r="AJ17" i="7" s="1"/>
  <c r="G17" i="7"/>
  <c r="AK17" i="7" s="1"/>
  <c r="G18" i="7"/>
  <c r="AK18" i="7" s="1"/>
  <c r="AG10" i="7"/>
  <c r="AR10" i="7"/>
  <c r="AJ10" i="7"/>
  <c r="N19" i="5"/>
  <c r="J19" i="5"/>
  <c r="K19" i="5" s="1"/>
  <c r="AM18" i="7"/>
  <c r="N18" i="7"/>
  <c r="AR18" i="7" s="1"/>
  <c r="O10" i="7"/>
  <c r="AG8" i="7"/>
  <c r="AG18" i="7"/>
  <c r="J9" i="5"/>
  <c r="K9" i="5" s="1"/>
  <c r="N9" i="5"/>
  <c r="I16" i="7"/>
  <c r="K18" i="7"/>
  <c r="AO18" i="7" s="1"/>
  <c r="AE17" i="7"/>
  <c r="D17" i="7"/>
  <c r="AH17" i="7" s="1"/>
  <c r="E17" i="7"/>
  <c r="AI17" i="7" s="1"/>
  <c r="L17" i="7"/>
  <c r="AP17" i="7" s="1"/>
  <c r="M17" i="7"/>
  <c r="AQ17" i="7" s="1"/>
  <c r="AP7" i="7"/>
  <c r="AE10" i="7" l="1"/>
  <c r="AS10" i="7" s="1"/>
  <c r="AS7" i="7"/>
  <c r="K19" i="7"/>
  <c r="AO19" i="7" s="1"/>
  <c r="AO16" i="7"/>
  <c r="X19" i="7"/>
  <c r="AE16" i="7"/>
  <c r="AE19" i="7" s="1"/>
  <c r="M19" i="7"/>
  <c r="AQ19" i="7" s="1"/>
  <c r="AQ16" i="7"/>
  <c r="H17" i="7"/>
  <c r="AG17" i="7"/>
  <c r="H18" i="7"/>
  <c r="G19" i="7"/>
  <c r="AK19" i="7" s="1"/>
  <c r="AK16" i="7"/>
  <c r="F19" i="7"/>
  <c r="AJ19" i="7" s="1"/>
  <c r="AJ16" i="7"/>
  <c r="D19" i="7"/>
  <c r="AH19" i="7" s="1"/>
  <c r="AH16" i="7"/>
  <c r="L19" i="7"/>
  <c r="AP19" i="7" s="1"/>
  <c r="AP16" i="7"/>
  <c r="H19" i="7"/>
  <c r="AL16" i="7"/>
  <c r="E19" i="7"/>
  <c r="AI19" i="7" s="1"/>
  <c r="AI16" i="7"/>
  <c r="N17" i="7"/>
  <c r="AR17" i="7" s="1"/>
  <c r="N16" i="7"/>
  <c r="I19" i="7"/>
  <c r="AM19" i="7" s="1"/>
  <c r="AM16" i="7"/>
  <c r="C19" i="7"/>
  <c r="AG19" i="7" s="1"/>
  <c r="AL19" i="7" l="1"/>
  <c r="N19" i="7"/>
  <c r="AR19" i="7" s="1"/>
  <c r="AR16" i="7"/>
  <c r="O16" i="7"/>
  <c r="AL18" i="7"/>
  <c r="O18" i="7"/>
  <c r="AS18" i="7" s="1"/>
  <c r="O17" i="7"/>
  <c r="AS17" i="7" s="1"/>
  <c r="AL17" i="7"/>
  <c r="AS16" i="7" l="1"/>
  <c r="O19" i="7"/>
  <c r="AS19" i="7" s="1"/>
  <c r="J21" i="2" l="1"/>
  <c r="J19" i="2" l="1"/>
  <c r="J20" i="2"/>
  <c r="J17" i="2"/>
  <c r="J18" i="2"/>
  <c r="F20" i="2" l="1"/>
  <c r="F21" i="2"/>
  <c r="F19" i="2"/>
  <c r="F18" i="2" l="1"/>
  <c r="J10" i="2"/>
  <c r="J13" i="2"/>
  <c r="J12" i="2"/>
  <c r="J11" i="2"/>
  <c r="E19" i="2" l="1"/>
  <c r="I11" i="2"/>
  <c r="K11" i="2" s="1"/>
  <c r="I13" i="2"/>
  <c r="K13" i="2" s="1"/>
  <c r="E21" i="2"/>
  <c r="I10" i="2"/>
  <c r="K10" i="2" s="1"/>
  <c r="E18" i="2"/>
  <c r="E20" i="2"/>
  <c r="I12" i="2"/>
  <c r="K12" i="2" s="1"/>
  <c r="F17" i="2" l="1"/>
  <c r="I9" i="2" l="1"/>
  <c r="J9" i="2" l="1"/>
  <c r="K9" i="2" s="1"/>
  <c r="E17" i="2"/>
  <c r="C20" i="2" l="1"/>
  <c r="C17" i="2"/>
  <c r="F10" i="9" l="1"/>
  <c r="F12" i="9" l="1"/>
  <c r="F5" i="9"/>
  <c r="F11" i="9"/>
  <c r="F6" i="9"/>
  <c r="F3" i="9"/>
  <c r="F13" i="9"/>
  <c r="F4" i="9"/>
  <c r="F14" i="9"/>
  <c r="F8" i="9" l="1"/>
  <c r="F9" i="9"/>
  <c r="F7" i="9" l="1"/>
  <c r="M18" i="5"/>
  <c r="N18" i="5" s="1"/>
  <c r="F2" i="9" l="1"/>
  <c r="M17" i="5"/>
  <c r="N17" i="5" s="1"/>
  <c r="M16" i="5"/>
  <c r="N16" i="5" s="1"/>
  <c r="M15" i="5"/>
  <c r="N15" i="5" s="1"/>
  <c r="M14" i="5"/>
  <c r="N14" i="5" s="1"/>
  <c r="F15" i="9" l="1"/>
</calcChain>
</file>

<file path=xl/sharedStrings.xml><?xml version="1.0" encoding="utf-8"?>
<sst xmlns="http://schemas.openxmlformats.org/spreadsheetml/2006/main" count="498" uniqueCount="160">
  <si>
    <t>SHUN SHING CEMENT INDUSTRIES LTD - CIM</t>
  </si>
  <si>
    <t>BOKTIARPARA, UNION- NO-03, SHIKOLBAHA, KARNAPHULY;PATIYA;CHITTAGONG</t>
  </si>
  <si>
    <t>PACKER WISE BAG CEMENT PRODUCTION</t>
  </si>
  <si>
    <t>From 06-OCT-23 To 06-OCT-23</t>
  </si>
  <si>
    <r>
      <rPr>
        <sz val="8"/>
        <color rgb="FF000000"/>
        <rFont val="Arial"/>
        <family val="2"/>
      </rPr>
      <t>        Print Date:</t>
    </r>
    <r>
      <rPr>
        <b/>
        <sz val="8"/>
        <color rgb="FF000000"/>
        <rFont val="Courier New"/>
        <family val="3"/>
      </rPr>
      <t>06-10-2023</t>
    </r>
  </si>
  <si>
    <t>Production Date</t>
  </si>
  <si>
    <t>Shift</t>
  </si>
  <si>
    <t>CKER - 1</t>
  </si>
  <si>
    <t>Total</t>
  </si>
  <si>
    <t>BAG CEMENT B-M (PCC)</t>
  </si>
  <si>
    <t>BAG CEMENT GOLD (OPC)</t>
  </si>
  <si>
    <t>A</t>
  </si>
  <si>
    <t>Grand Total</t>
  </si>
  <si>
    <t>SHIFT</t>
  </si>
  <si>
    <t>BUSTING BAG CEMENT</t>
  </si>
  <si>
    <t>Production</t>
  </si>
  <si>
    <t>Date</t>
  </si>
  <si>
    <t>Grand Total=</t>
  </si>
  <si>
    <r>
      <rPr>
        <b/>
        <sz val="11"/>
        <color rgb="FF000000"/>
        <rFont val="Calibri"/>
        <family val="2"/>
        <scheme val="minor"/>
      </rPr>
      <t xml:space="preserve">1 </t>
    </r>
    <r>
      <rPr>
        <sz val="11"/>
        <color rgb="FF000000"/>
        <rFont val="Calibri"/>
        <family val="2"/>
        <scheme val="minor"/>
      </rPr>
      <t>|</t>
    </r>
    <r>
      <rPr>
        <b/>
        <sz val="11"/>
        <color rgb="FF000000"/>
        <rFont val="Calibri"/>
        <family val="2"/>
        <scheme val="minor"/>
      </rPr>
      <t xml:space="preserve"> </t>
    </r>
    <r>
      <rPr>
        <sz val="11"/>
        <color rgb="FF808080"/>
        <rFont val="Calibri"/>
        <family val="2"/>
        <scheme val="minor"/>
      </rPr>
      <t>Page</t>
    </r>
  </si>
  <si>
    <t>BM (2 PLY)</t>
  </si>
  <si>
    <t>AM (2 Ply)</t>
  </si>
  <si>
    <t>AM (1 PLY )</t>
  </si>
  <si>
    <t>AM (MES)</t>
  </si>
  <si>
    <t>Gold (2 PLY)</t>
  </si>
  <si>
    <t>Gold (1 PLY)</t>
  </si>
  <si>
    <t>Gold (1 Ply MES)</t>
  </si>
  <si>
    <t>CKER - 2</t>
  </si>
  <si>
    <t>BAG CEMENT A-M SPECIAL (PCC)</t>
  </si>
  <si>
    <t>BAG CEMENT A-M (SPECIAL) PCC 1 PLY</t>
  </si>
  <si>
    <t>BAG CEMENT GOLD (OPC) 1 PLY</t>
  </si>
  <si>
    <t>B</t>
  </si>
  <si>
    <t>C</t>
  </si>
  <si>
    <t>Bursting</t>
  </si>
  <si>
    <t>xxx</t>
  </si>
  <si>
    <t>Item Code</t>
  </si>
  <si>
    <t>Description</t>
  </si>
  <si>
    <t>Unit</t>
  </si>
  <si>
    <t>Opening Balance</t>
  </si>
  <si>
    <t>Rcv From Production</t>
  </si>
  <si>
    <t>Issue to</t>
  </si>
  <si>
    <t>Move Order</t>
  </si>
  <si>
    <t>Closing</t>
  </si>
  <si>
    <t>EBAG.CMNT.0243</t>
  </si>
  <si>
    <t>EBAG.CMNT.0244</t>
  </si>
  <si>
    <t>EBAG.CMNT.0270</t>
  </si>
  <si>
    <t>EBAG.CMNT.0296</t>
  </si>
  <si>
    <t>EBAG.CMNT.0340</t>
  </si>
  <si>
    <t>From</t>
  </si>
  <si>
    <t>To</t>
  </si>
  <si>
    <t>Issue to Production</t>
  </si>
  <si>
    <t>Short Name</t>
  </si>
  <si>
    <t>Adjustment</t>
  </si>
  <si>
    <t>Difference</t>
  </si>
  <si>
    <t>ITEM ON HAND DETAILS REPORT</t>
  </si>
  <si>
    <t>Category</t>
  </si>
  <si>
    <r>
      <rPr>
        <b/>
        <sz val="8"/>
        <color rgb="FF000000"/>
        <rFont val="Arial"/>
        <family val="2"/>
      </rP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</si>
  <si>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t>Sub Inventory</t>
  </si>
  <si>
    <r>
      <rPr>
        <b/>
        <sz val="8"/>
        <color rgb="FF000000"/>
        <rFont val="Arial"/>
        <family val="2"/>
      </rPr>
      <t xml:space="preserve">: </t>
    </r>
    <r>
      <rPr>
        <sz val="8"/>
        <color rgb="FF000000"/>
        <rFont val="Arial"/>
        <family val="2"/>
      </rPr>
      <t>ALL</t>
    </r>
  </si>
  <si>
    <t>Item Type</t>
  </si>
  <si>
    <t>Use of Area</t>
  </si>
  <si>
    <t>Locator</t>
  </si>
  <si>
    <t>Qty</t>
  </si>
  <si>
    <t>Unit Cost</t>
  </si>
  <si>
    <t>Total Cost</t>
  </si>
  <si>
    <t>CI - RM</t>
  </si>
  <si>
    <t>CI - SFLR</t>
  </si>
  <si>
    <t>FGCM.BULK.0003</t>
  </si>
  <si>
    <t>CI - FG</t>
  </si>
  <si>
    <t>FGCM.BULK.0001</t>
  </si>
  <si>
    <t>FGCM.BULK.0002</t>
  </si>
  <si>
    <t>FGCM.PCKT.0001</t>
  </si>
  <si>
    <t>FGCM.PCKT.0002</t>
  </si>
  <si>
    <t>FGCM.PCKT.0003</t>
  </si>
  <si>
    <t>FGCM.PCKT.0006</t>
  </si>
  <si>
    <t>FGCM.PCKT.0008</t>
  </si>
  <si>
    <t>SCRP.BBAG.0001</t>
  </si>
  <si>
    <t>EBAG.CMNT.0271</t>
  </si>
  <si>
    <r>
      <rPr>
        <b/>
        <sz val="8"/>
        <color rgb="FF000000"/>
        <rFont val="Calibri"/>
        <family val="2"/>
        <scheme val="minor"/>
      </rPr>
      <t>Stock Date:</t>
    </r>
    <r>
      <rPr>
        <sz val="8"/>
        <color rgb="FF000000"/>
        <rFont val="Calibri"/>
        <family val="2"/>
        <scheme val="minor"/>
      </rPr>
      <t xml:space="preserve"> 09-SEP-23</t>
    </r>
  </si>
  <si>
    <r>
      <rPr>
        <sz val="8"/>
        <color rgb="FF000000"/>
        <rFont val="Cambria"/>
        <family val="1"/>
      </rP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:09-09-2023</t>
    </r>
  </si>
  <si>
    <t>Desired Sub Inventory</t>
  </si>
  <si>
    <t>OPM</t>
  </si>
  <si>
    <t>Mat Trans</t>
  </si>
  <si>
    <t>ILS</t>
  </si>
  <si>
    <t>Excel</t>
  </si>
  <si>
    <r>
      <t>Stock Date:</t>
    </r>
    <r>
      <rPr>
        <sz val="8"/>
        <color rgb="FF000000"/>
        <rFont val="Calibri"/>
        <family val="2"/>
        <scheme val="minor"/>
      </rPr>
      <t xml:space="preserve"> 17-APR-24</t>
    </r>
  </si>
  <si>
    <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</si>
  <si>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r>
      <t xml:space="preserve">: </t>
    </r>
    <r>
      <rPr>
        <sz val="8"/>
        <color rgb="FF000000"/>
        <rFont val="Arial"/>
        <family val="2"/>
      </rPr>
      <t>ALL</t>
    </r>
  </si>
  <si>
    <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:17-04-2024</t>
    </r>
  </si>
  <si>
    <t>SCRP.IDST.0001</t>
  </si>
  <si>
    <t>IRON DUST</t>
  </si>
  <si>
    <t>MT</t>
  </si>
  <si>
    <t>PROCESS SCRAP</t>
  </si>
  <si>
    <t>BY PRODUCT</t>
  </si>
  <si>
    <t>SCRAP</t>
  </si>
  <si>
    <t>CI - WAST</t>
  </si>
  <si>
    <t>SPMC.SHFT.4476</t>
  </si>
  <si>
    <t>TEFLON SHAFT 40MM</t>
  </si>
  <si>
    <t>PCS</t>
  </si>
  <si>
    <t>MECHANICAL</t>
  </si>
  <si>
    <t>SPARES</t>
  </si>
  <si>
    <t>WEAVING SECTION</t>
  </si>
  <si>
    <t>RMTL.CLNK.0001</t>
  </si>
  <si>
    <t>CLINKER</t>
  </si>
  <si>
    <t>INGREDIENT</t>
  </si>
  <si>
    <t>RAW MATERIALS</t>
  </si>
  <si>
    <t>TRADING</t>
  </si>
  <si>
    <t>RMTL.FLSH.0001</t>
  </si>
  <si>
    <t>FLY ASH</t>
  </si>
  <si>
    <t>RMTL.GYPS.0001</t>
  </si>
  <si>
    <t>GYPSUM</t>
  </si>
  <si>
    <t>RMTL.LIME.0001</t>
  </si>
  <si>
    <t>LIME STONE</t>
  </si>
  <si>
    <t>RMTL.SLAG.0001</t>
  </si>
  <si>
    <t>SLAG</t>
  </si>
  <si>
    <t>RMTL.POZO.0001</t>
  </si>
  <si>
    <t>NATURAL POZZOLANA</t>
  </si>
  <si>
    <t>RM-CEMENT</t>
  </si>
  <si>
    <t>WPP BAG SEVEN RINGS BM (PCC) SSCIL</t>
  </si>
  <si>
    <t>PACKING MATERIALS</t>
  </si>
  <si>
    <t>SR BRAND</t>
  </si>
  <si>
    <t>CI - VAT</t>
  </si>
  <si>
    <t>WPP BAG SEVEN RINGS CEMENT - GOLD (OPC) SSCIL</t>
  </si>
  <si>
    <t>BULK CEMENT GOLD (OPC)</t>
  </si>
  <si>
    <t>FINISH GOODS</t>
  </si>
  <si>
    <t>FINISHED GOODS</t>
  </si>
  <si>
    <t>BULK CEMENT</t>
  </si>
  <si>
    <t>BULK CEMENT B-M (PCC)</t>
  </si>
  <si>
    <t>BULK CEMENT A-M SPECIAL (PCC)</t>
  </si>
  <si>
    <t>BAG</t>
  </si>
  <si>
    <t>FINISHED GOODS-DUAL</t>
  </si>
  <si>
    <t>BAG CEMENT</t>
  </si>
  <si>
    <t>WASTAGE</t>
  </si>
  <si>
    <t>SPEL.PUMP.6032</t>
  </si>
  <si>
    <t>SUBMERSIBLE PUMP 2 HP</t>
  </si>
  <si>
    <t>ELECTRICAL</t>
  </si>
  <si>
    <t>GENERAL USE</t>
  </si>
  <si>
    <t>CNMC.GMDA.0005</t>
  </si>
  <si>
    <t>GRINDING MEDIA DIA-60</t>
  </si>
  <si>
    <t>KG</t>
  </si>
  <si>
    <t>PRODUCTION</t>
  </si>
  <si>
    <t>CONSUMABLES</t>
  </si>
  <si>
    <t>BALL MILL</t>
  </si>
  <si>
    <t>CNPD.GMDA.0006</t>
  </si>
  <si>
    <t>GRINDING AID</t>
  </si>
  <si>
    <t>PROCESS MATERIALS</t>
  </si>
  <si>
    <t>GRINDING SYSTEM</t>
  </si>
  <si>
    <t>CNFL.DISL.0001</t>
  </si>
  <si>
    <t>DIESEL</t>
  </si>
  <si>
    <t>LTR</t>
  </si>
  <si>
    <t>PROCESS MATERIAL-COAL MILL</t>
  </si>
  <si>
    <t>CONSUMABLES-FUEL</t>
  </si>
  <si>
    <t>COAL MILL</t>
  </si>
  <si>
    <t>RMTL.COAL.0001</t>
  </si>
  <si>
    <t>COAL</t>
  </si>
  <si>
    <t>WPP SR CEMENT-GOLD(OPC) SSCIL 1PLY</t>
  </si>
  <si>
    <t>EMPTY BAG</t>
  </si>
  <si>
    <t>WPP SR CEMENT (BM) SSCIL 1PLY</t>
  </si>
  <si>
    <t>WPP SR CEMENT (AM) SSCIL 1PLY</t>
  </si>
  <si>
    <t>WPP BAG SEVEN RING CEMENT AM SPECIAL SSCIL</t>
  </si>
  <si>
    <t>CI - 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</si>
</sst>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;@"/>
    <numFmt numFmtId="165" formatCode="@&quot; Production&quot;"/>
    <numFmt numFmtId="166" formatCode="@&quot; Balance&quot;"/>
  </numFmts>
  <fonts count="7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rgb="FF000000"/>
      <name val="Cambria"/>
      <family val="1"/>
    </font>
    <font>
      <b/>
      <sz val="11"/>
      <color rgb="FF000000"/>
      <name val="Calibri"/>
      <family val="2"/>
      <scheme val="minor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color rgb="FF000000"/>
      <name val="Cambria"/>
      <family val="1"/>
    </font>
    <font>
      <b/>
      <sz val="8"/>
      <color rgb="FF000000"/>
      <name val="Courier New"/>
      <family val="3"/>
    </font>
    <font>
      <sz val="11"/>
      <color rgb="FF80808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23">
    <xf numFmtId="0" fontId="0" fillId="0" borderId="0"/>
    <xf numFmtId="0" fontId="59" fillId="0" borderId="0" applyNumberFormat="0" applyFill="0" applyBorder="0" applyAlignment="0" applyProtection="0"/>
    <xf numFmtId="0" fontId="60" fillId="0" borderId="14" applyNumberFormat="0" applyFill="0" applyAlignment="0" applyProtection="0"/>
    <xf numFmtId="0" fontId="61" fillId="0" borderId="15" applyNumberFormat="0" applyFill="0" applyAlignment="0" applyProtection="0"/>
    <xf numFmtId="0" fontId="62" fillId="0" borderId="16" applyNumberFormat="0" applyFill="0" applyAlignment="0" applyProtection="0"/>
    <xf numFmtId="0" fontId="62" fillId="0" borderId="0" applyNumberFormat="0" applyFill="0" applyBorder="0" applyAlignment="0" applyProtection="0"/>
    <xf numFmtId="0" fontId="63" fillId="17" borderId="0" applyNumberFormat="0" applyBorder="0" applyAlignment="0" applyProtection="0"/>
    <xf numFmtId="0" fontId="64" fillId="18" borderId="0" applyNumberFormat="0" applyBorder="0" applyAlignment="0" applyProtection="0"/>
    <xf numFmtId="0" fontId="65" fillId="19" borderId="0" applyNumberFormat="0" applyBorder="0" applyAlignment="0" applyProtection="0"/>
    <xf numFmtId="0" fontId="66" fillId="20" borderId="17" applyNumberFormat="0" applyAlignment="0" applyProtection="0"/>
    <xf numFmtId="0" fontId="67" fillId="21" borderId="18" applyNumberFormat="0" applyAlignment="0" applyProtection="0"/>
    <xf numFmtId="0" fontId="68" fillId="21" borderId="17" applyNumberFormat="0" applyAlignment="0" applyProtection="0"/>
    <xf numFmtId="0" fontId="69" fillId="0" borderId="19" applyNumberFormat="0" applyFill="0" applyAlignment="0" applyProtection="0"/>
    <xf numFmtId="0" fontId="70" fillId="22" borderId="20" applyNumberFormat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2" fillId="0" borderId="22" applyNumberFormat="0" applyFill="0" applyAlignment="0" applyProtection="0"/>
    <xf numFmtId="0" fontId="73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73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73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73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73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73" fillId="44" borderId="0" applyNumberFormat="0" applyBorder="0" applyAlignment="0" applyProtection="0"/>
    <xf numFmtId="0" fontId="36" fillId="45" borderId="0" applyNumberFormat="0" applyBorder="0" applyAlignment="0" applyProtection="0"/>
    <xf numFmtId="0" fontId="36" fillId="46" borderId="0" applyNumberFormat="0" applyBorder="0" applyAlignment="0" applyProtection="0"/>
    <xf numFmtId="0" fontId="36" fillId="47" borderId="0" applyNumberFormat="0" applyBorder="0" applyAlignment="0" applyProtection="0"/>
    <xf numFmtId="0" fontId="36" fillId="0" borderId="0"/>
    <xf numFmtId="0" fontId="36" fillId="23" borderId="21" applyNumberFormat="0" applyFont="0" applyAlignment="0" applyProtection="0"/>
    <xf numFmtId="0" fontId="35" fillId="0" borderId="0"/>
    <xf numFmtId="0" fontId="35" fillId="23" borderId="21" applyNumberFormat="0" applyFont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35" fillId="37" borderId="0" applyNumberFormat="0" applyBorder="0" applyAlignment="0" applyProtection="0"/>
    <xf numFmtId="0" fontId="35" fillId="38" borderId="0" applyNumberFormat="0" applyBorder="0" applyAlignment="0" applyProtection="0"/>
    <xf numFmtId="0" fontId="35" fillId="39" borderId="0" applyNumberFormat="0" applyBorder="0" applyAlignment="0" applyProtection="0"/>
    <xf numFmtId="0" fontId="35" fillId="41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4" fillId="0" borderId="0"/>
    <xf numFmtId="0" fontId="34" fillId="23" borderId="21" applyNumberFormat="0" applyFont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3" fillId="0" borderId="0"/>
    <xf numFmtId="0" fontId="33" fillId="23" borderId="21" applyNumberFormat="0" applyFont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2" fillId="0" borderId="0"/>
    <xf numFmtId="0" fontId="32" fillId="23" borderId="21" applyNumberFormat="0" applyFont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1" fillId="0" borderId="0"/>
    <xf numFmtId="0" fontId="31" fillId="23" borderId="21" applyNumberFormat="0" applyFont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5" borderId="0" applyNumberFormat="0" applyBorder="0" applyAlignment="0" applyProtection="0"/>
    <xf numFmtId="0" fontId="31" fillId="37" borderId="0" applyNumberFormat="0" applyBorder="0" applyAlignment="0" applyProtection="0"/>
    <xf numFmtId="0" fontId="31" fillId="38" borderId="0" applyNumberFormat="0" applyBorder="0" applyAlignment="0" applyProtection="0"/>
    <xf numFmtId="0" fontId="31" fillId="39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31" fillId="43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0" fillId="0" borderId="0"/>
    <xf numFmtId="0" fontId="30" fillId="23" borderId="21" applyNumberFormat="0" applyFont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29" fillId="0" borderId="0"/>
    <xf numFmtId="0" fontId="29" fillId="23" borderId="21" applyNumberFormat="0" applyFont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NumberFormat="0" applyBorder="0" applyAlignment="0" applyProtection="0"/>
    <xf numFmtId="0" fontId="29" fillId="39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NumberFormat="0" applyBorder="0" applyAlignment="0" applyProtection="0"/>
    <xf numFmtId="0" fontId="29" fillId="43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NumberFormat="0" applyBorder="0" applyAlignment="0" applyProtection="0"/>
    <xf numFmtId="0" fontId="29" fillId="47" borderId="0" applyNumberFormat="0" applyBorder="0" applyAlignment="0" applyProtection="0"/>
    <xf numFmtId="0" fontId="28" fillId="0" borderId="0"/>
    <xf numFmtId="0" fontId="28" fillId="23" borderId="21" applyNumberFormat="0" applyFont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7" borderId="0" applyNumberFormat="0" applyBorder="0" applyAlignment="0" applyProtection="0"/>
    <xf numFmtId="0" fontId="28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41" borderId="0" applyNumberFormat="0" applyBorder="0" applyAlignment="0" applyProtection="0"/>
    <xf numFmtId="0" fontId="28" fillId="42" borderId="0" applyNumberFormat="0" applyBorder="0" applyAlignment="0" applyProtection="0"/>
    <xf numFmtId="0" fontId="28" fillId="43" borderId="0" applyNumberFormat="0" applyBorder="0" applyAlignment="0" applyProtection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0" fontId="28" fillId="47" borderId="0" applyNumberFormat="0" applyBorder="0" applyAlignment="0" applyProtection="0"/>
    <xf numFmtId="0" fontId="27" fillId="0" borderId="0"/>
    <xf numFmtId="0" fontId="27" fillId="23" borderId="21" applyNumberFormat="0" applyFont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27" fillId="39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6" fillId="0" borderId="0"/>
    <xf numFmtId="0" fontId="26" fillId="23" borderId="21" applyNumberFormat="0" applyFont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45" borderId="0" applyNumberFormat="0" applyBorder="0" applyAlignment="0" applyProtection="0"/>
    <xf numFmtId="0" fontId="26" fillId="46" borderId="0" applyNumberFormat="0" applyBorder="0" applyAlignment="0" applyProtection="0"/>
    <xf numFmtId="0" fontId="26" fillId="47" borderId="0" applyNumberFormat="0" applyBorder="0" applyAlignment="0" applyProtection="0"/>
    <xf numFmtId="0" fontId="25" fillId="0" borderId="0"/>
    <xf numFmtId="0" fontId="25" fillId="23" borderId="21" applyNumberFormat="0" applyFont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4" fillId="0" borderId="0"/>
    <xf numFmtId="0" fontId="24" fillId="23" borderId="21" applyNumberFormat="0" applyFont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3" fillId="0" borderId="0"/>
    <xf numFmtId="0" fontId="23" fillId="23" borderId="21" applyNumberFormat="0" applyFont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2" fillId="0" borderId="0"/>
    <xf numFmtId="0" fontId="22" fillId="23" borderId="21" applyNumberFormat="0" applyFont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1" fillId="0" borderId="0"/>
    <xf numFmtId="0" fontId="21" fillId="23" borderId="2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0" fillId="0" borderId="0"/>
    <xf numFmtId="0" fontId="20" fillId="23" borderId="2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19" fillId="0" borderId="0"/>
    <xf numFmtId="0" fontId="19" fillId="23" borderId="2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7" fillId="0" borderId="0"/>
    <xf numFmtId="0" fontId="17" fillId="23" borderId="2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6" fillId="0" borderId="0"/>
    <xf numFmtId="0" fontId="16" fillId="23" borderId="2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5" fillId="0" borderId="0"/>
    <xf numFmtId="0" fontId="15" fillId="23" borderId="2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2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3" fillId="0" borderId="0"/>
    <xf numFmtId="0" fontId="13" fillId="23" borderId="2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2" fillId="0" borderId="0"/>
    <xf numFmtId="0" fontId="12" fillId="23" borderId="2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1" fillId="0" borderId="0"/>
    <xf numFmtId="0" fontId="11" fillId="23" borderId="2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0" fillId="0" borderId="0"/>
    <xf numFmtId="0" fontId="10" fillId="23" borderId="2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9" fillId="0" borderId="0"/>
    <xf numFmtId="0" fontId="9" fillId="23" borderId="2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8" fillId="0" borderId="0"/>
    <xf numFmtId="0" fontId="8" fillId="23" borderId="2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7" fillId="0" borderId="0"/>
    <xf numFmtId="0" fontId="7" fillId="23" borderId="2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6" fillId="0" borderId="0"/>
    <xf numFmtId="0" fontId="6" fillId="23" borderId="2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5" fillId="0" borderId="0"/>
    <xf numFmtId="0" fontId="5" fillId="23" borderId="21" applyNumberFormat="0" applyFont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3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7" borderId="0" applyNumberFormat="0" applyBorder="0" applyAlignment="0" applyProtection="0"/>
    <xf numFmtId="0" fontId="4" fillId="0" borderId="0"/>
    <xf numFmtId="0" fontId="4" fillId="23" borderId="21" applyNumberFormat="0" applyFont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3" fillId="0" borderId="0"/>
    <xf numFmtId="0" fontId="3" fillId="23" borderId="21" applyNumberFormat="0" applyFont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2" fillId="0" borderId="0"/>
    <xf numFmtId="0" fontId="2" fillId="23" borderId="21" applyNumberFormat="0" applyFont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1" fillId="0" borderId="0"/>
    <xf numFmtId="0" fontId="1" fillId="23" borderId="21" applyNumberFormat="0" applyFont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</cellStyleXfs>
  <cellXfs count="155">
    <xf numFmtId="0" fontId="0" fillId="0" borderId="0" xfId="0"/>
    <xf numFmtId="164" fontId="42" fillId="0" borderId="0" xfId="0" applyNumberFormat="1" applyFont="1" applyAlignment="1">
      <alignment horizontal="left"/>
    </xf>
    <xf numFmtId="0" fontId="39" fillId="2" borderId="1" xfId="0" applyFont="1" applyFill="1" applyBorder="1" applyAlignment="1">
      <alignment horizontal="center"/>
    </xf>
    <xf numFmtId="0" fontId="38" fillId="3" borderId="0" xfId="0" applyFont="1" applyFill="1" applyAlignment="1">
      <alignment vertical="top"/>
    </xf>
    <xf numFmtId="0" fontId="38" fillId="4" borderId="0" xfId="0" applyFont="1" applyFill="1" applyAlignment="1">
      <alignment vertical="top"/>
    </xf>
    <xf numFmtId="0" fontId="38" fillId="5" borderId="0" xfId="0" applyFont="1" applyFill="1" applyAlignment="1">
      <alignment vertical="top"/>
    </xf>
    <xf numFmtId="0" fontId="38" fillId="6" borderId="0" xfId="0" applyFont="1" applyFill="1" applyAlignment="1">
      <alignment vertical="top"/>
    </xf>
    <xf numFmtId="0" fontId="38" fillId="0" borderId="0" xfId="0" applyFont="1" applyAlignment="1">
      <alignment vertical="top"/>
    </xf>
    <xf numFmtId="0" fontId="41" fillId="2" borderId="2" xfId="0" applyFont="1" applyFill="1" applyBorder="1" applyAlignment="1">
      <alignment horizontal="center"/>
    </xf>
    <xf numFmtId="0" fontId="41" fillId="2" borderId="3" xfId="0" applyFont="1" applyFill="1" applyBorder="1" applyAlignment="1">
      <alignment horizontal="left"/>
    </xf>
    <xf numFmtId="0" fontId="39" fillId="2" borderId="4" xfId="0" applyFont="1" applyFill="1" applyBorder="1" applyAlignment="1">
      <alignment horizontal="center" wrapText="1"/>
    </xf>
    <xf numFmtId="0" fontId="38" fillId="2" borderId="4" xfId="0" applyFont="1" applyFill="1" applyBorder="1" applyAlignment="1">
      <alignment vertical="top" wrapText="1"/>
    </xf>
    <xf numFmtId="0" fontId="0" fillId="0" borderId="3" xfId="0" applyBorder="1"/>
    <xf numFmtId="165" fontId="0" fillId="0" borderId="3" xfId="0" applyNumberFormat="1" applyBorder="1"/>
    <xf numFmtId="166" fontId="0" fillId="0" borderId="3" xfId="0" applyNumberFormat="1" applyBorder="1"/>
    <xf numFmtId="0" fontId="44" fillId="2" borderId="3" xfId="0" applyFont="1" applyFill="1" applyBorder="1" applyAlignment="1">
      <alignment vertical="top"/>
    </xf>
    <xf numFmtId="0" fontId="0" fillId="7" borderId="3" xfId="0" applyFill="1" applyBorder="1"/>
    <xf numFmtId="0" fontId="0" fillId="3" borderId="0" xfId="0" applyFill="1"/>
    <xf numFmtId="164" fontId="0" fillId="3" borderId="0" xfId="0" applyNumberFormat="1" applyFill="1"/>
    <xf numFmtId="0" fontId="42" fillId="3" borderId="0" xfId="0" applyFont="1" applyFill="1"/>
    <xf numFmtId="0" fontId="0" fillId="0" borderId="7" xfId="0" applyBorder="1"/>
    <xf numFmtId="0" fontId="49" fillId="8" borderId="0" xfId="0" applyFont="1" applyFill="1"/>
    <xf numFmtId="0" fontId="37" fillId="9" borderId="1" xfId="0" applyFont="1" applyFill="1" applyBorder="1" applyAlignment="1">
      <alignment vertical="top" wrapText="1"/>
    </xf>
    <xf numFmtId="0" fontId="37" fillId="9" borderId="1" xfId="0" applyFont="1" applyFill="1" applyBorder="1" applyAlignment="1">
      <alignment horizontal="center" vertical="center" wrapText="1"/>
    </xf>
    <xf numFmtId="0" fontId="37" fillId="9" borderId="8" xfId="0" applyFont="1" applyFill="1" applyBorder="1" applyAlignment="1">
      <alignment vertical="top" wrapText="1"/>
    </xf>
    <xf numFmtId="0" fontId="50" fillId="9" borderId="2" xfId="0" applyFont="1" applyFill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top" wrapText="1"/>
    </xf>
    <xf numFmtId="0" fontId="37" fillId="10" borderId="3" xfId="0" applyFont="1" applyFill="1" applyBorder="1" applyAlignment="1">
      <alignment horizontal="center" vertical="top" wrapText="1"/>
    </xf>
    <xf numFmtId="0" fontId="37" fillId="9" borderId="9" xfId="0" applyFont="1" applyFill="1" applyBorder="1" applyAlignment="1">
      <alignment vertical="top" wrapText="1"/>
    </xf>
    <xf numFmtId="0" fontId="37" fillId="0" borderId="10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52" fillId="0" borderId="3" xfId="0" applyFont="1" applyBorder="1"/>
    <xf numFmtId="0" fontId="50" fillId="9" borderId="1" xfId="0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top" wrapText="1"/>
    </xf>
    <xf numFmtId="0" fontId="37" fillId="10" borderId="1" xfId="0" applyFont="1" applyFill="1" applyBorder="1" applyAlignment="1">
      <alignment horizontal="center" vertical="top" wrapText="1"/>
    </xf>
    <xf numFmtId="0" fontId="37" fillId="11" borderId="3" xfId="0" applyFont="1" applyFill="1" applyBorder="1" applyAlignment="1">
      <alignment horizontal="center" vertical="top" wrapText="1"/>
    </xf>
    <xf numFmtId="0" fontId="37" fillId="12" borderId="3" xfId="0" applyFont="1" applyFill="1" applyBorder="1" applyAlignment="1">
      <alignment horizontal="center" vertical="top" wrapText="1"/>
    </xf>
    <xf numFmtId="0" fontId="37" fillId="9" borderId="3" xfId="0" applyFont="1" applyFill="1" applyBorder="1" applyAlignment="1">
      <alignment vertical="top" wrapText="1"/>
    </xf>
    <xf numFmtId="0" fontId="37" fillId="11" borderId="1" xfId="0" applyFont="1" applyFill="1" applyBorder="1" applyAlignment="1">
      <alignment horizontal="center" vertical="top" wrapText="1"/>
    </xf>
    <xf numFmtId="0" fontId="37" fillId="12" borderId="1" xfId="0" applyFont="1" applyFill="1" applyBorder="1" applyAlignment="1">
      <alignment horizontal="center" vertical="top" wrapText="1"/>
    </xf>
    <xf numFmtId="0" fontId="37" fillId="9" borderId="2" xfId="0" applyFont="1" applyFill="1" applyBorder="1" applyAlignment="1">
      <alignment horizontal="center" vertical="center" wrapText="1"/>
    </xf>
    <xf numFmtId="0" fontId="37" fillId="2" borderId="10" xfId="0" applyFont="1" applyFill="1" applyBorder="1" applyAlignment="1">
      <alignment horizontal="center" vertical="center" wrapText="1"/>
    </xf>
    <xf numFmtId="0" fontId="0" fillId="13" borderId="3" xfId="0" applyFill="1" applyBorder="1"/>
    <xf numFmtId="15" fontId="0" fillId="4" borderId="3" xfId="0" applyNumberFormat="1" applyFill="1" applyBorder="1"/>
    <xf numFmtId="0" fontId="42" fillId="10" borderId="3" xfId="0" applyFont="1" applyFill="1" applyBorder="1"/>
    <xf numFmtId="0" fontId="37" fillId="2" borderId="2" xfId="0" applyFont="1" applyFill="1" applyBorder="1" applyAlignment="1">
      <alignment horizontal="center" vertical="center" wrapText="1"/>
    </xf>
    <xf numFmtId="0" fontId="52" fillId="14" borderId="3" xfId="0" applyFont="1" applyFill="1" applyBorder="1"/>
    <xf numFmtId="0" fontId="49" fillId="14" borderId="3" xfId="0" applyFont="1" applyFill="1" applyBorder="1"/>
    <xf numFmtId="0" fontId="49" fillId="10" borderId="3" xfId="0" applyFont="1" applyFill="1" applyBorder="1"/>
    <xf numFmtId="15" fontId="0" fillId="0" borderId="0" xfId="0" applyNumberFormat="1"/>
    <xf numFmtId="0" fontId="37" fillId="9" borderId="3" xfId="0" applyFont="1" applyFill="1" applyBorder="1" applyAlignment="1">
      <alignment horizontal="center" vertical="top" wrapText="1"/>
    </xf>
    <xf numFmtId="0" fontId="42" fillId="12" borderId="3" xfId="0" applyFont="1" applyFill="1" applyBorder="1"/>
    <xf numFmtId="0" fontId="53" fillId="0" borderId="3" xfId="0" applyFont="1" applyBorder="1"/>
    <xf numFmtId="0" fontId="49" fillId="12" borderId="3" xfId="0" applyFont="1" applyFill="1" applyBorder="1"/>
    <xf numFmtId="0" fontId="0" fillId="15" borderId="3" xfId="0" applyFill="1" applyBorder="1"/>
    <xf numFmtId="0" fontId="40" fillId="9" borderId="4" xfId="0" applyFont="1" applyFill="1" applyBorder="1" applyAlignment="1">
      <alignment horizontal="center" vertical="top" wrapText="1"/>
    </xf>
    <xf numFmtId="0" fontId="39" fillId="9" borderId="4" xfId="0" applyFont="1" applyFill="1" applyBorder="1" applyAlignment="1">
      <alignment horizontal="center" vertical="top" wrapText="1"/>
    </xf>
    <xf numFmtId="15" fontId="54" fillId="2" borderId="4" xfId="0" applyNumberFormat="1" applyFont="1" applyFill="1" applyBorder="1" applyAlignment="1">
      <alignment vertical="top" wrapText="1"/>
    </xf>
    <xf numFmtId="0" fontId="54" fillId="2" borderId="4" xfId="0" applyFont="1" applyFill="1" applyBorder="1" applyAlignment="1">
      <alignment vertical="top" wrapText="1"/>
    </xf>
    <xf numFmtId="0" fontId="54" fillId="2" borderId="4" xfId="0" applyFont="1" applyFill="1" applyBorder="1" applyAlignment="1">
      <alignment horizontal="right" vertical="top" wrapText="1"/>
    </xf>
    <xf numFmtId="0" fontId="39" fillId="2" borderId="4" xfId="0" applyFont="1" applyFill="1" applyBorder="1" applyAlignment="1">
      <alignment horizontal="right" vertical="top" wrapText="1"/>
    </xf>
    <xf numFmtId="0" fontId="40" fillId="16" borderId="4" xfId="0" applyFont="1" applyFill="1" applyBorder="1" applyAlignment="1">
      <alignment horizontal="center" vertical="top" wrapText="1"/>
    </xf>
    <xf numFmtId="15" fontId="54" fillId="2" borderId="4" xfId="0" applyNumberFormat="1" applyFont="1" applyFill="1" applyBorder="1" applyAlignment="1">
      <alignment wrapText="1"/>
    </xf>
    <xf numFmtId="0" fontId="54" fillId="2" borderId="4" xfId="0" applyFont="1" applyFill="1" applyBorder="1" applyAlignment="1">
      <alignment wrapText="1"/>
    </xf>
    <xf numFmtId="0" fontId="40" fillId="2" borderId="10" xfId="0" applyFont="1" applyFill="1" applyBorder="1" applyAlignment="1">
      <alignment vertical="top" wrapText="1"/>
    </xf>
    <xf numFmtId="0" fontId="0" fillId="2" borderId="13" xfId="0" applyFill="1" applyBorder="1" applyAlignment="1">
      <alignment vertical="top" wrapText="1"/>
    </xf>
    <xf numFmtId="0" fontId="40" fillId="2" borderId="4" xfId="0" applyFont="1" applyFill="1" applyBorder="1" applyAlignment="1">
      <alignment horizontal="right" vertical="top" wrapText="1"/>
    </xf>
    <xf numFmtId="0" fontId="39" fillId="16" borderId="1" xfId="0" applyFont="1" applyFill="1" applyBorder="1" applyAlignment="1">
      <alignment horizontal="center" wrapText="1"/>
    </xf>
    <xf numFmtId="0" fontId="39" fillId="16" borderId="8" xfId="0" applyFont="1" applyFill="1" applyBorder="1" applyAlignment="1">
      <alignment horizontal="center" wrapText="1"/>
    </xf>
    <xf numFmtId="15" fontId="38" fillId="2" borderId="4" xfId="0" applyNumberFormat="1" applyFont="1" applyFill="1" applyBorder="1" applyAlignment="1">
      <alignment horizontal="center" wrapText="1"/>
    </xf>
    <xf numFmtId="0" fontId="54" fillId="2" borderId="4" xfId="0" applyFont="1" applyFill="1" applyBorder="1" applyAlignment="1">
      <alignment horizontal="center" wrapText="1"/>
    </xf>
    <xf numFmtId="0" fontId="44" fillId="0" borderId="0" xfId="0" applyFont="1"/>
    <xf numFmtId="0" fontId="41" fillId="0" borderId="0" xfId="0" applyFont="1" applyAlignment="1">
      <alignment vertical="top"/>
    </xf>
    <xf numFmtId="0" fontId="18" fillId="0" borderId="0" xfId="0" applyFont="1"/>
    <xf numFmtId="0" fontId="0" fillId="48" borderId="0" xfId="0" applyFill="1"/>
    <xf numFmtId="0" fontId="18" fillId="48" borderId="0" xfId="0" applyFont="1" applyFill="1"/>
    <xf numFmtId="0" fontId="0" fillId="49" borderId="0" xfId="0" applyFill="1"/>
    <xf numFmtId="0" fontId="0" fillId="13" borderId="0" xfId="0" applyFill="1"/>
    <xf numFmtId="0" fontId="18" fillId="13" borderId="0" xfId="0" applyFont="1" applyFill="1"/>
    <xf numFmtId="0" fontId="0" fillId="50" borderId="0" xfId="0" applyFill="1"/>
    <xf numFmtId="0" fontId="18" fillId="50" borderId="0" xfId="0" applyFont="1" applyFill="1"/>
    <xf numFmtId="2" fontId="18" fillId="49" borderId="0" xfId="0" applyNumberFormat="1" applyFont="1" applyFill="1"/>
    <xf numFmtId="0" fontId="7" fillId="0" borderId="0" xfId="0" applyFont="1"/>
    <xf numFmtId="2" fontId="0" fillId="0" borderId="0" xfId="0" applyNumberFormat="1"/>
    <xf numFmtId="2" fontId="75" fillId="51" borderId="0" xfId="0" applyNumberFormat="1" applyFont="1" applyFill="1"/>
    <xf numFmtId="0" fontId="75" fillId="51" borderId="0" xfId="0" applyFont="1" applyFill="1"/>
    <xf numFmtId="164" fontId="0" fillId="7" borderId="3" xfId="0" applyNumberFormat="1" applyFill="1" applyBorder="1"/>
    <xf numFmtId="0" fontId="41" fillId="2" borderId="0" xfId="0" applyFont="1" applyFill="1" applyAlignment="1">
      <alignment vertical="top" wrapText="1"/>
    </xf>
    <xf numFmtId="0" fontId="41" fillId="2" borderId="4" xfId="0" applyFont="1" applyFill="1" applyBorder="1" applyAlignment="1">
      <alignment horizontal="center" wrapText="1"/>
    </xf>
    <xf numFmtId="0" fontId="38" fillId="2" borderId="4" xfId="0" applyFont="1" applyFill="1" applyBorder="1" applyAlignment="1">
      <alignment horizontal="center" vertical="top" wrapText="1"/>
    </xf>
    <xf numFmtId="0" fontId="0" fillId="2" borderId="4" xfId="0" applyFill="1" applyBorder="1" applyAlignment="1">
      <alignment vertical="top" wrapText="1"/>
    </xf>
    <xf numFmtId="0" fontId="38" fillId="2" borderId="4" xfId="0" applyFont="1" applyFill="1" applyBorder="1" applyAlignment="1">
      <alignment horizontal="right" vertical="top" wrapText="1"/>
    </xf>
    <xf numFmtId="0" fontId="38" fillId="2" borderId="4" xfId="0" applyFont="1" applyFill="1" applyBorder="1" applyAlignment="1">
      <alignment horizontal="right" wrapText="1"/>
    </xf>
    <xf numFmtId="4" fontId="38" fillId="2" borderId="4" xfId="0" applyNumberFormat="1" applyFont="1" applyFill="1" applyBorder="1" applyAlignment="1">
      <alignment horizontal="right" vertical="top" wrapText="1"/>
    </xf>
    <xf numFmtId="4" fontId="38" fillId="2" borderId="4" xfId="0" applyNumberFormat="1" applyFont="1" applyFill="1" applyBorder="1" applyAlignment="1">
      <alignment horizontal="right" wrapText="1"/>
    </xf>
    <xf numFmtId="0" fontId="38" fillId="16" borderId="1" xfId="0" applyFont="1" applyFill="1" applyBorder="1" applyAlignment="1">
      <alignment horizontal="center" wrapText="1"/>
    </xf>
    <xf numFmtId="0" fontId="38" fillId="16" borderId="8" xfId="0" applyFont="1" applyFill="1" applyBorder="1" applyAlignment="1">
      <alignment horizontal="center" wrapText="1"/>
    </xf>
    <xf numFmtId="0" fontId="40" fillId="16" borderId="1" xfId="0" applyFont="1" applyFill="1" applyBorder="1" applyAlignment="1">
      <alignment horizontal="center" wrapText="1"/>
    </xf>
    <xf numFmtId="0" fontId="40" fillId="16" borderId="9" xfId="0" applyFont="1" applyFill="1" applyBorder="1" applyAlignment="1">
      <alignment horizontal="center" wrapText="1"/>
    </xf>
    <xf numFmtId="0" fontId="40" fillId="16" borderId="8" xfId="0" applyFont="1" applyFill="1" applyBorder="1" applyAlignment="1">
      <alignment horizontal="center" wrapText="1"/>
    </xf>
    <xf numFmtId="0" fontId="55" fillId="16" borderId="1" xfId="0" applyFont="1" applyFill="1" applyBorder="1" applyAlignment="1">
      <alignment horizontal="center" wrapText="1"/>
    </xf>
    <xf numFmtId="0" fontId="55" fillId="16" borderId="8" xfId="0" applyFont="1" applyFill="1" applyBorder="1" applyAlignment="1">
      <alignment horizontal="center" wrapText="1"/>
    </xf>
    <xf numFmtId="0" fontId="39" fillId="9" borderId="1" xfId="0" applyFont="1" applyFill="1" applyBorder="1" applyAlignment="1">
      <alignment horizontal="center" vertical="top" wrapText="1"/>
    </xf>
    <xf numFmtId="0" fontId="39" fillId="9" borderId="8" xfId="0" applyFont="1" applyFill="1" applyBorder="1" applyAlignment="1">
      <alignment horizontal="center" vertical="top" wrapText="1"/>
    </xf>
    <xf numFmtId="0" fontId="39" fillId="9" borderId="10" xfId="0" applyFont="1" applyFill="1" applyBorder="1" applyAlignment="1">
      <alignment horizontal="center" vertical="top" wrapText="1"/>
    </xf>
    <xf numFmtId="0" fontId="39" fillId="9" borderId="12" xfId="0" applyFont="1" applyFill="1" applyBorder="1" applyAlignment="1">
      <alignment horizontal="center" vertical="top" wrapText="1"/>
    </xf>
    <xf numFmtId="0" fontId="39" fillId="9" borderId="13" xfId="0" applyFont="1" applyFill="1" applyBorder="1" applyAlignment="1">
      <alignment horizontal="center" vertical="top" wrapText="1"/>
    </xf>
    <xf numFmtId="0" fontId="39" fillId="2" borderId="10" xfId="0" applyFont="1" applyFill="1" applyBorder="1" applyAlignment="1">
      <alignment vertical="top" wrapText="1"/>
    </xf>
    <xf numFmtId="0" fontId="39" fillId="2" borderId="13" xfId="0" applyFont="1" applyFill="1" applyBorder="1" applyAlignment="1">
      <alignment vertical="top" wrapText="1"/>
    </xf>
    <xf numFmtId="0" fontId="39" fillId="9" borderId="1" xfId="0" applyFont="1" applyFill="1" applyBorder="1" applyAlignment="1">
      <alignment vertical="top" wrapText="1"/>
    </xf>
    <xf numFmtId="0" fontId="39" fillId="9" borderId="8" xfId="0" applyFont="1" applyFill="1" applyBorder="1" applyAlignment="1">
      <alignment vertical="top" wrapText="1"/>
    </xf>
    <xf numFmtId="0" fontId="39" fillId="16" borderId="1" xfId="0" applyFont="1" applyFill="1" applyBorder="1" applyAlignment="1">
      <alignment horizontal="center" vertical="top" wrapText="1"/>
    </xf>
    <xf numFmtId="0" fontId="39" fillId="16" borderId="9" xfId="0" applyFont="1" applyFill="1" applyBorder="1" applyAlignment="1">
      <alignment horizontal="center" vertical="top" wrapText="1"/>
    </xf>
    <xf numFmtId="0" fontId="39" fillId="16" borderId="8" xfId="0" applyFont="1" applyFill="1" applyBorder="1" applyAlignment="1">
      <alignment horizontal="center" vertical="top" wrapText="1"/>
    </xf>
    <xf numFmtId="0" fontId="40" fillId="16" borderId="1" xfId="0" applyFont="1" applyFill="1" applyBorder="1" applyAlignment="1">
      <alignment horizontal="center" vertical="top" wrapText="1"/>
    </xf>
    <xf numFmtId="0" fontId="40" fillId="16" borderId="9" xfId="0" applyFont="1" applyFill="1" applyBorder="1" applyAlignment="1">
      <alignment horizontal="center" vertical="top" wrapText="1"/>
    </xf>
    <xf numFmtId="0" fontId="40" fillId="16" borderId="8" xfId="0" applyFont="1" applyFill="1" applyBorder="1" applyAlignment="1">
      <alignment horizontal="center" vertical="top" wrapText="1"/>
    </xf>
    <xf numFmtId="0" fontId="45" fillId="0" borderId="0" xfId="0" applyFont="1" applyAlignment="1">
      <alignment horizontal="center" wrapText="1"/>
    </xf>
    <xf numFmtId="0" fontId="0" fillId="0" borderId="0" xfId="0"/>
    <xf numFmtId="0" fontId="46" fillId="0" borderId="0" xfId="0" applyFont="1" applyAlignment="1">
      <alignment horizontal="center" wrapText="1"/>
    </xf>
    <xf numFmtId="0" fontId="47" fillId="0" borderId="0" xfId="0" applyFont="1" applyAlignment="1">
      <alignment horizontal="center" wrapText="1"/>
    </xf>
    <xf numFmtId="0" fontId="48" fillId="0" borderId="0" xfId="0" applyFont="1" applyAlignment="1">
      <alignment horizontal="center" wrapText="1"/>
    </xf>
    <xf numFmtId="15" fontId="51" fillId="0" borderId="1" xfId="0" applyNumberFormat="1" applyFont="1" applyBorder="1" applyAlignment="1">
      <alignment vertical="top" wrapText="1"/>
    </xf>
    <xf numFmtId="15" fontId="51" fillId="0" borderId="9" xfId="0" applyNumberFormat="1" applyFont="1" applyBorder="1" applyAlignment="1">
      <alignment vertical="top" wrapText="1"/>
    </xf>
    <xf numFmtId="15" fontId="51" fillId="0" borderId="11" xfId="0" applyNumberFormat="1" applyFont="1" applyBorder="1" applyAlignment="1">
      <alignment vertical="top" wrapText="1"/>
    </xf>
    <xf numFmtId="15" fontId="51" fillId="2" borderId="1" xfId="0" applyNumberFormat="1" applyFont="1" applyFill="1" applyBorder="1" applyAlignment="1">
      <alignment vertical="top" wrapText="1"/>
    </xf>
    <xf numFmtId="15" fontId="51" fillId="2" borderId="9" xfId="0" applyNumberFormat="1" applyFont="1" applyFill="1" applyBorder="1" applyAlignment="1">
      <alignment vertical="top" wrapText="1"/>
    </xf>
    <xf numFmtId="15" fontId="51" fillId="2" borderId="11" xfId="0" applyNumberFormat="1" applyFont="1" applyFill="1" applyBorder="1" applyAlignment="1">
      <alignment vertical="top" wrapText="1"/>
    </xf>
    <xf numFmtId="0" fontId="37" fillId="9" borderId="3" xfId="0" applyFont="1" applyFill="1" applyBorder="1" applyAlignment="1">
      <alignment horizontal="center" vertical="top" wrapText="1"/>
    </xf>
    <xf numFmtId="0" fontId="37" fillId="9" borderId="1" xfId="0" applyFont="1" applyFill="1" applyBorder="1" applyAlignment="1">
      <alignment horizontal="center" vertical="top" wrapText="1"/>
    </xf>
    <xf numFmtId="0" fontId="37" fillId="9" borderId="9" xfId="0" applyFont="1" applyFill="1" applyBorder="1" applyAlignment="1">
      <alignment horizontal="center" vertical="top" wrapText="1"/>
    </xf>
    <xf numFmtId="0" fontId="37" fillId="3" borderId="2" xfId="0" applyFont="1" applyFill="1" applyBorder="1" applyAlignment="1">
      <alignment horizontal="center" vertical="top" wrapText="1"/>
    </xf>
    <xf numFmtId="0" fontId="37" fillId="3" borderId="5" xfId="0" applyFont="1" applyFill="1" applyBorder="1" applyAlignment="1">
      <alignment horizontal="center" vertical="top" wrapText="1"/>
    </xf>
    <xf numFmtId="0" fontId="37" fillId="3" borderId="6" xfId="0" applyFont="1" applyFill="1" applyBorder="1" applyAlignment="1">
      <alignment horizontal="center" vertical="top" wrapText="1"/>
    </xf>
    <xf numFmtId="0" fontId="37" fillId="11" borderId="2" xfId="0" applyFont="1" applyFill="1" applyBorder="1" applyAlignment="1">
      <alignment horizontal="center" vertical="top" wrapText="1"/>
    </xf>
    <xf numFmtId="0" fontId="37" fillId="11" borderId="5" xfId="0" applyFont="1" applyFill="1" applyBorder="1" applyAlignment="1">
      <alignment horizontal="center" vertical="top" wrapText="1"/>
    </xf>
    <xf numFmtId="0" fontId="37" fillId="11" borderId="6" xfId="0" applyFont="1" applyFill="1" applyBorder="1" applyAlignment="1">
      <alignment horizontal="center" vertical="top" wrapText="1"/>
    </xf>
    <xf numFmtId="0" fontId="37" fillId="3" borderId="3" xfId="0" applyFont="1" applyFill="1" applyBorder="1" applyAlignment="1">
      <alignment horizontal="center" vertical="top" wrapText="1"/>
    </xf>
    <xf numFmtId="0" fontId="37" fillId="11" borderId="3" xfId="0" applyFont="1" applyFill="1" applyBorder="1" applyAlignment="1">
      <alignment horizontal="center" vertical="top" wrapText="1"/>
    </xf>
    <xf numFmtId="0" fontId="37" fillId="3" borderId="10" xfId="0" applyFont="1" applyFill="1" applyBorder="1" applyAlignment="1">
      <alignment horizontal="center" vertical="top" wrapText="1"/>
    </xf>
    <xf numFmtId="0" fontId="37" fillId="3" borderId="12" xfId="0" applyFont="1" applyFill="1" applyBorder="1" applyAlignment="1">
      <alignment horizontal="center" vertical="top" wrapText="1"/>
    </xf>
    <xf numFmtId="0" fontId="37" fillId="3" borderId="13" xfId="0" applyFont="1" applyFill="1" applyBorder="1" applyAlignment="1">
      <alignment horizontal="center" vertical="top" wrapText="1"/>
    </xf>
    <xf numFmtId="0" fontId="37" fillId="11" borderId="10" xfId="0" applyFont="1" applyFill="1" applyBorder="1" applyAlignment="1">
      <alignment horizontal="center" vertical="top" wrapText="1"/>
    </xf>
    <xf numFmtId="0" fontId="37" fillId="11" borderId="12" xfId="0" applyFont="1" applyFill="1" applyBorder="1" applyAlignment="1">
      <alignment horizontal="center" vertical="top" wrapText="1"/>
    </xf>
    <xf numFmtId="0" fontId="37" fillId="11" borderId="13" xfId="0" applyFont="1" applyFill="1" applyBorder="1" applyAlignment="1">
      <alignment horizontal="center" vertical="top" wrapText="1"/>
    </xf>
    <xf numFmtId="0" fontId="37" fillId="0" borderId="0" xfId="0" applyFont="1" applyAlignment="1">
      <alignment horizontal="center" wrapText="1"/>
    </xf>
    <xf numFmtId="0" fontId="38" fillId="0" borderId="0" xfId="0" applyFont="1" applyAlignment="1">
      <alignment horizontal="center" wrapText="1"/>
    </xf>
    <xf numFmtId="0" fontId="39" fillId="0" borderId="0" xfId="0" applyFont="1" applyAlignment="1">
      <alignment horizontal="center" wrapText="1"/>
    </xf>
    <xf numFmtId="0" fontId="40" fillId="0" borderId="0" xfId="0" applyFont="1" applyAlignment="1">
      <alignment horizontal="center" wrapText="1"/>
    </xf>
    <xf numFmtId="0" fontId="43" fillId="0" borderId="0" xfId="0" applyFont="1" applyAlignment="1">
      <alignment horizontal="right" wrapText="1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right"/>
    </xf>
  </cellXfs>
  <cellStyles count="723">
    <cellStyle name="20% - Accent1" xfId="18" builtinId="30" customBuiltin="1"/>
    <cellStyle name="20% - Accent1 10" xfId="205" xr:uid="{8EFBA9CC-9818-499B-B0D2-6BC5235EDF2E}"/>
    <cellStyle name="20% - Accent1 11" xfId="225" xr:uid="{39C34E68-4C0F-4B06-8B71-C521641A603A}"/>
    <cellStyle name="20% - Accent1 12" xfId="245" xr:uid="{6BA1BF07-2D50-438C-BBBC-143E7D776F86}"/>
    <cellStyle name="20% - Accent1 13" xfId="265" xr:uid="{C5D1A64E-6A43-41DA-AB3D-99606701D418}"/>
    <cellStyle name="20% - Accent1 14" xfId="285" xr:uid="{532AE628-9A6A-465B-9B12-50187893EA58}"/>
    <cellStyle name="20% - Accent1 15" xfId="305" xr:uid="{C04980AB-84C2-4DE2-AFDA-A2D3842B4969}"/>
    <cellStyle name="20% - Accent1 16" xfId="325" xr:uid="{15BA4EDE-C579-499B-9479-8F36A5105C4C}"/>
    <cellStyle name="20% - Accent1 17" xfId="345" xr:uid="{9E9B346D-3694-43C6-87C8-DB3C9C6C2103}"/>
    <cellStyle name="20% - Accent1 18" xfId="365" xr:uid="{E2C592DE-3472-4A35-967F-A0A7DF860E86}"/>
    <cellStyle name="20% - Accent1 19" xfId="385" xr:uid="{779DF9EA-5A14-44E6-B977-A4863D73D599}"/>
    <cellStyle name="20% - Accent1 2" xfId="45" xr:uid="{9501D1C7-E791-4DFD-AF30-24F54C652879}"/>
    <cellStyle name="20% - Accent1 20" xfId="405" xr:uid="{C033A91D-29CF-4DC9-A9BE-FE18393FFCF0}"/>
    <cellStyle name="20% - Accent1 21" xfId="425" xr:uid="{90F683DB-3C66-49BB-A072-CFE338420D26}"/>
    <cellStyle name="20% - Accent1 22" xfId="445" xr:uid="{ADE2DAB0-1BD1-4A65-82F1-334249E914EF}"/>
    <cellStyle name="20% - Accent1 23" xfId="465" xr:uid="{ADA551AE-FC0F-4A9D-96BE-586D77C7D7D5}"/>
    <cellStyle name="20% - Accent1 24" xfId="485" xr:uid="{9DD9BE6A-3906-46A3-BC02-551451A5C320}"/>
    <cellStyle name="20% - Accent1 25" xfId="505" xr:uid="{4700DDA7-411B-4394-B2C5-49CFC5A43FC5}"/>
    <cellStyle name="20% - Accent1 26" xfId="525" xr:uid="{E998ABA2-15CA-4598-9F51-F1C67039AD05}"/>
    <cellStyle name="20% - Accent1 27" xfId="545" xr:uid="{33CEEA74-97E2-4395-94EC-B0C785011C2A}"/>
    <cellStyle name="20% - Accent1 28" xfId="565" xr:uid="{273B2B35-1827-47EA-96FC-068D2B59EC78}"/>
    <cellStyle name="20% - Accent1 29" xfId="585" xr:uid="{9687174F-3380-440D-90EB-949A0C283935}"/>
    <cellStyle name="20% - Accent1 3" xfId="65" xr:uid="{6645EB46-6E8E-4F42-A27A-039E284E30EF}"/>
    <cellStyle name="20% - Accent1 30" xfId="605" xr:uid="{787E2316-B495-4FEA-9B2D-C1B915538716}"/>
    <cellStyle name="20% - Accent1 31" xfId="625" xr:uid="{6CDB8B89-13BC-4953-ABD5-2129FD83F1C4}"/>
    <cellStyle name="20% - Accent1 32" xfId="645" xr:uid="{655A41C8-1008-4A4C-AA91-388BB8E453BC}"/>
    <cellStyle name="20% - Accent1 33" xfId="665" xr:uid="{DA126CE0-0ED9-4E23-8CBB-B9D1C5479FDF}"/>
    <cellStyle name="20% - Accent1 34" xfId="685" xr:uid="{B71EAAE9-5F0F-459C-B653-B7D492163745}"/>
    <cellStyle name="20% - Accent1 35" xfId="705" xr:uid="{CA75A661-66F5-4E62-9056-A3B254A654F5}"/>
    <cellStyle name="20% - Accent1 4" xfId="85" xr:uid="{C31A699B-5FFB-4904-BC48-4A1DE5348A59}"/>
    <cellStyle name="20% - Accent1 5" xfId="105" xr:uid="{BDABBBE2-FAFB-4C79-97BD-6F1BA294E503}"/>
    <cellStyle name="20% - Accent1 6" xfId="125" xr:uid="{BF28DEB0-29E4-4F58-81B2-2E8C2109A31E}"/>
    <cellStyle name="20% - Accent1 7" xfId="145" xr:uid="{A2EDDEE8-2959-4065-AB48-DEB0D5137E97}"/>
    <cellStyle name="20% - Accent1 8" xfId="165" xr:uid="{B3F12CEA-4314-40D0-BF25-B75720E5F342}"/>
    <cellStyle name="20% - Accent1 9" xfId="185" xr:uid="{09768068-5E86-4223-B6DF-8391B200E3F9}"/>
    <cellStyle name="20% - Accent2" xfId="22" builtinId="34" customBuiltin="1"/>
    <cellStyle name="20% - Accent2 10" xfId="208" xr:uid="{8BE45AE5-B255-4B78-AA23-DF5168677AE8}"/>
    <cellStyle name="20% - Accent2 11" xfId="228" xr:uid="{998F8A64-E82D-42BE-B7CA-151C9190DD75}"/>
    <cellStyle name="20% - Accent2 12" xfId="248" xr:uid="{6FBE6575-56AC-4BF7-9085-51E1F634A7DD}"/>
    <cellStyle name="20% - Accent2 13" xfId="268" xr:uid="{08EF217D-F051-4AF5-8955-12C81A8B49D2}"/>
    <cellStyle name="20% - Accent2 14" xfId="288" xr:uid="{D9CACEFE-FAEB-4B3B-8AB2-67923DE839AF}"/>
    <cellStyle name="20% - Accent2 15" xfId="308" xr:uid="{60E58484-54C3-4208-8572-41714D3C9258}"/>
    <cellStyle name="20% - Accent2 16" xfId="328" xr:uid="{BCA3ADE6-B82D-4C9B-88D5-0C80702E7C3D}"/>
    <cellStyle name="20% - Accent2 17" xfId="348" xr:uid="{147C81A2-5DC2-4ECC-9F9A-EAA127A6E102}"/>
    <cellStyle name="20% - Accent2 18" xfId="368" xr:uid="{27BB73F5-6447-4BF2-8749-813FB5D9D3F8}"/>
    <cellStyle name="20% - Accent2 19" xfId="388" xr:uid="{963BDB44-02AC-4964-9CEE-86C4E23D6FB3}"/>
    <cellStyle name="20% - Accent2 2" xfId="48" xr:uid="{E04D607B-9F9E-4E14-ADC8-727782A52E4D}"/>
    <cellStyle name="20% - Accent2 20" xfId="408" xr:uid="{2D4F0B03-5907-4FDB-BDF7-53C44015B0A8}"/>
    <cellStyle name="20% - Accent2 21" xfId="428" xr:uid="{B03C4091-CD1C-4ED0-A963-E90C43FF181C}"/>
    <cellStyle name="20% - Accent2 22" xfId="448" xr:uid="{CFEA8DC9-BB1D-42F9-BEB1-2766BD8898A4}"/>
    <cellStyle name="20% - Accent2 23" xfId="468" xr:uid="{76BDC222-C335-4314-90AE-B343A6403BF4}"/>
    <cellStyle name="20% - Accent2 24" xfId="488" xr:uid="{DBE7DDF3-96F7-4A62-95FF-3FAE25172F44}"/>
    <cellStyle name="20% - Accent2 25" xfId="508" xr:uid="{9C2F7084-4C31-465A-99F1-96CDCE84CF5C}"/>
    <cellStyle name="20% - Accent2 26" xfId="528" xr:uid="{CA7B4EE5-1942-4F3C-834F-EDB9786D2697}"/>
    <cellStyle name="20% - Accent2 27" xfId="548" xr:uid="{6A64DCDE-02BE-4D31-83F8-56D744861BC4}"/>
    <cellStyle name="20% - Accent2 28" xfId="568" xr:uid="{2C72C173-A9C6-48AA-93CE-58C8B63B08B3}"/>
    <cellStyle name="20% - Accent2 29" xfId="588" xr:uid="{74567BA5-C340-42FD-B68D-F159358FC889}"/>
    <cellStyle name="20% - Accent2 3" xfId="68" xr:uid="{2D947D16-3A63-440E-ADCC-52F65D58FC80}"/>
    <cellStyle name="20% - Accent2 30" xfId="608" xr:uid="{8FBF25C1-5BB6-475D-89C9-AF040D69CFC2}"/>
    <cellStyle name="20% - Accent2 31" xfId="628" xr:uid="{4840C39E-8944-4EFC-9C32-83CF8F845A8F}"/>
    <cellStyle name="20% - Accent2 32" xfId="648" xr:uid="{B179D1B5-C080-4400-99E8-82D6D7493E14}"/>
    <cellStyle name="20% - Accent2 33" xfId="668" xr:uid="{C5305DE5-D20F-4C36-8EC6-40C5CBA699D2}"/>
    <cellStyle name="20% - Accent2 34" xfId="688" xr:uid="{E8F7A0EF-BBEE-486E-A352-11AC0F558C42}"/>
    <cellStyle name="20% - Accent2 35" xfId="708" xr:uid="{A0D7F7C8-BFB7-4B61-B77A-5CE5B177A9F6}"/>
    <cellStyle name="20% - Accent2 4" xfId="88" xr:uid="{035E8B58-4B02-48EF-9728-5920A1C34E91}"/>
    <cellStyle name="20% - Accent2 5" xfId="108" xr:uid="{4D0CCADB-6CCE-43C5-BACE-5CFE1AA72517}"/>
    <cellStyle name="20% - Accent2 6" xfId="128" xr:uid="{C09EDE64-89B8-4EB4-9126-8B3F6CA252C8}"/>
    <cellStyle name="20% - Accent2 7" xfId="148" xr:uid="{0649EE24-B5C5-4BD2-84CF-035B2A5BC0F0}"/>
    <cellStyle name="20% - Accent2 8" xfId="168" xr:uid="{BF885465-E1A6-46C0-B3F5-26B3B83842E5}"/>
    <cellStyle name="20% - Accent2 9" xfId="188" xr:uid="{A07F5BF7-0C24-48E5-844E-E444C192F58D}"/>
    <cellStyle name="20% - Accent3" xfId="26" builtinId="38" customBuiltin="1"/>
    <cellStyle name="20% - Accent3 10" xfId="211" xr:uid="{F533FBC2-B97B-4ECF-A1A7-8747C2D10402}"/>
    <cellStyle name="20% - Accent3 11" xfId="231" xr:uid="{A64C3387-5CF5-49EF-A8BB-9F745D030B6C}"/>
    <cellStyle name="20% - Accent3 12" xfId="251" xr:uid="{7813B998-3F59-43AF-B9C0-ED74A30D2CB6}"/>
    <cellStyle name="20% - Accent3 13" xfId="271" xr:uid="{A5556AB0-499C-4082-BD5D-A5BCC6C9C9A6}"/>
    <cellStyle name="20% - Accent3 14" xfId="291" xr:uid="{7CCB19E7-66A7-40A9-BEB4-E70DACFD4D18}"/>
    <cellStyle name="20% - Accent3 15" xfId="311" xr:uid="{A39AE25E-2F32-4A53-9AD9-2DDB58D1209A}"/>
    <cellStyle name="20% - Accent3 16" xfId="331" xr:uid="{7869B94F-FBD2-4B9C-9788-8CE4B41CE978}"/>
    <cellStyle name="20% - Accent3 17" xfId="351" xr:uid="{88CCD1DC-732C-4208-ADA7-CC9CE1DC115B}"/>
    <cellStyle name="20% - Accent3 18" xfId="371" xr:uid="{62D1639A-C786-42B0-B007-A7A47A70D4A2}"/>
    <cellStyle name="20% - Accent3 19" xfId="391" xr:uid="{73DA46BA-7A7D-47F5-BC53-AF71CE20FF67}"/>
    <cellStyle name="20% - Accent3 2" xfId="51" xr:uid="{DD1606AF-4E85-4D42-97F9-E398A476661A}"/>
    <cellStyle name="20% - Accent3 20" xfId="411" xr:uid="{DAA3330A-DCC7-40AA-91C8-29421CF40574}"/>
    <cellStyle name="20% - Accent3 21" xfId="431" xr:uid="{C146AFEA-EC12-4C82-B59E-54120DF24CCE}"/>
    <cellStyle name="20% - Accent3 22" xfId="451" xr:uid="{B50B58AA-F872-4B81-ADAA-18B49D0F1DC0}"/>
    <cellStyle name="20% - Accent3 23" xfId="471" xr:uid="{A3B65B00-2DF9-41E2-93D7-2A3173099C7E}"/>
    <cellStyle name="20% - Accent3 24" xfId="491" xr:uid="{5F42ADB0-6341-4A9F-993C-22B2E4BC17CD}"/>
    <cellStyle name="20% - Accent3 25" xfId="511" xr:uid="{DC7ECD7F-1AFB-4891-9B94-D8AD941A2E5C}"/>
    <cellStyle name="20% - Accent3 26" xfId="531" xr:uid="{0F00B203-EF2C-46DC-A8F1-3593F607A8F7}"/>
    <cellStyle name="20% - Accent3 27" xfId="551" xr:uid="{9F711286-5419-4839-94D6-F04C34DE621C}"/>
    <cellStyle name="20% - Accent3 28" xfId="571" xr:uid="{0662678E-A846-4DC9-A74E-F4BC1CFD5150}"/>
    <cellStyle name="20% - Accent3 29" xfId="591" xr:uid="{AAE3E0FF-EF9F-44C4-96D7-BCFA575ED3D7}"/>
    <cellStyle name="20% - Accent3 3" xfId="71" xr:uid="{050B53D0-D6B9-40CD-9152-699DD1610EA7}"/>
    <cellStyle name="20% - Accent3 30" xfId="611" xr:uid="{B9C85440-23A1-481E-849C-5F6FAE118F4F}"/>
    <cellStyle name="20% - Accent3 31" xfId="631" xr:uid="{A3732A06-AE2E-4F92-9B81-30C30AE5E9DF}"/>
    <cellStyle name="20% - Accent3 32" xfId="651" xr:uid="{92EF1825-522D-41C5-8C4B-DD0F5FAAD700}"/>
    <cellStyle name="20% - Accent3 33" xfId="671" xr:uid="{416E62D2-91FD-490D-8D35-479260AE8335}"/>
    <cellStyle name="20% - Accent3 34" xfId="691" xr:uid="{F9EBDA84-CD4A-40CF-9C62-C0E63DF6E0D4}"/>
    <cellStyle name="20% - Accent3 35" xfId="711" xr:uid="{585E0090-0F4D-4133-A3DC-7EA10C047285}"/>
    <cellStyle name="20% - Accent3 4" xfId="91" xr:uid="{3BC4827D-5E58-4FE1-8C7D-8BA4878569BD}"/>
    <cellStyle name="20% - Accent3 5" xfId="111" xr:uid="{2772372A-5956-44DB-B703-87837F6A9705}"/>
    <cellStyle name="20% - Accent3 6" xfId="131" xr:uid="{F51D5D3F-A9DA-4B34-9C05-E4CF3D4F6401}"/>
    <cellStyle name="20% - Accent3 7" xfId="151" xr:uid="{4A5A8F59-66E0-41BB-85DC-C135A695F5C6}"/>
    <cellStyle name="20% - Accent3 8" xfId="171" xr:uid="{D1538089-3207-494D-8881-09169E52A8F7}"/>
    <cellStyle name="20% - Accent3 9" xfId="191" xr:uid="{E0E78FBC-AFE4-4535-8A69-FD7F41D10F83}"/>
    <cellStyle name="20% - Accent4" xfId="30" builtinId="42" customBuiltin="1"/>
    <cellStyle name="20% - Accent4 10" xfId="214" xr:uid="{588F6CF6-22F9-452C-9F09-F5823588A6D5}"/>
    <cellStyle name="20% - Accent4 11" xfId="234" xr:uid="{116519EF-0E6C-4043-B773-A50C1C193B01}"/>
    <cellStyle name="20% - Accent4 12" xfId="254" xr:uid="{03AEC4BE-C983-4418-8209-6B27D138857C}"/>
    <cellStyle name="20% - Accent4 13" xfId="274" xr:uid="{9BD3E607-E12A-4BC2-B2A1-630F8F549F80}"/>
    <cellStyle name="20% - Accent4 14" xfId="294" xr:uid="{342AA803-D5D0-4E52-8332-0A403C6D1774}"/>
    <cellStyle name="20% - Accent4 15" xfId="314" xr:uid="{A650DBC1-3734-408C-87DC-988D462122E7}"/>
    <cellStyle name="20% - Accent4 16" xfId="334" xr:uid="{554AE6D1-6169-491A-87B1-2C0137ACB8A4}"/>
    <cellStyle name="20% - Accent4 17" xfId="354" xr:uid="{E83A5DB6-0763-4642-BAE1-6D453895205A}"/>
    <cellStyle name="20% - Accent4 18" xfId="374" xr:uid="{76AA0ED5-BE2A-4996-A265-90FB4AE98897}"/>
    <cellStyle name="20% - Accent4 19" xfId="394" xr:uid="{79259600-2D57-41F4-8ABC-FCE2E22EA5E0}"/>
    <cellStyle name="20% - Accent4 2" xfId="54" xr:uid="{CA2A1C56-8ECB-4859-85E7-E4CDDC2A3E8A}"/>
    <cellStyle name="20% - Accent4 20" xfId="414" xr:uid="{F9729047-BCA1-4329-80C9-F1815B5424DC}"/>
    <cellStyle name="20% - Accent4 21" xfId="434" xr:uid="{D679BE9B-F815-4749-8D86-B919C762534B}"/>
    <cellStyle name="20% - Accent4 22" xfId="454" xr:uid="{8F924F70-C9EC-406C-9E64-61820F638710}"/>
    <cellStyle name="20% - Accent4 23" xfId="474" xr:uid="{DDEF5DF5-B95A-4E91-8535-71D9F3BDD481}"/>
    <cellStyle name="20% - Accent4 24" xfId="494" xr:uid="{10A1C9D4-2E2F-488B-8089-BB593FFC2F8F}"/>
    <cellStyle name="20% - Accent4 25" xfId="514" xr:uid="{B75722CA-881C-4AFF-A373-F21EB7FEB10F}"/>
    <cellStyle name="20% - Accent4 26" xfId="534" xr:uid="{20094431-976A-4287-955A-A24E3E5A941B}"/>
    <cellStyle name="20% - Accent4 27" xfId="554" xr:uid="{657FFDC7-8DBF-4ED2-A009-ED8FA4330D8F}"/>
    <cellStyle name="20% - Accent4 28" xfId="574" xr:uid="{7FAD86B2-ADA5-478A-BBEC-D137B51739AE}"/>
    <cellStyle name="20% - Accent4 29" xfId="594" xr:uid="{EAA1BA3D-79F9-4EAE-ADD7-F34D0A34D21C}"/>
    <cellStyle name="20% - Accent4 3" xfId="74" xr:uid="{97B707F2-3D29-4B03-94D3-23578960BE6A}"/>
    <cellStyle name="20% - Accent4 30" xfId="614" xr:uid="{9041C094-48D0-435F-B511-1C2A05F06ED4}"/>
    <cellStyle name="20% - Accent4 31" xfId="634" xr:uid="{8DCD302B-F147-45AF-8C7E-71D68E20C297}"/>
    <cellStyle name="20% - Accent4 32" xfId="654" xr:uid="{F69D5C84-8815-4D38-90CA-2E0AB2C1086C}"/>
    <cellStyle name="20% - Accent4 33" xfId="674" xr:uid="{34730A06-F7DC-4B67-85C6-7AE5FD252D8A}"/>
    <cellStyle name="20% - Accent4 34" xfId="694" xr:uid="{E1BBE0D0-F245-4B06-91AD-6C2487576447}"/>
    <cellStyle name="20% - Accent4 35" xfId="714" xr:uid="{D59DDC51-E290-43FE-9C17-147F37128952}"/>
    <cellStyle name="20% - Accent4 4" xfId="94" xr:uid="{A649A350-508A-4371-B31A-B472E038426E}"/>
    <cellStyle name="20% - Accent4 5" xfId="114" xr:uid="{339CDE17-8AFF-44C6-B204-2DCB808DD01F}"/>
    <cellStyle name="20% - Accent4 6" xfId="134" xr:uid="{06541D0B-8906-4F1D-BDEA-074BD63E3E37}"/>
    <cellStyle name="20% - Accent4 7" xfId="154" xr:uid="{C236A784-8F4A-4E26-B343-B2503C9E6C0D}"/>
    <cellStyle name="20% - Accent4 8" xfId="174" xr:uid="{00C93432-CE69-419A-8EBB-BEF9B5D54FC9}"/>
    <cellStyle name="20% - Accent4 9" xfId="194" xr:uid="{16F71CA9-8CE9-4908-9EB9-12E1494B3CAF}"/>
    <cellStyle name="20% - Accent5" xfId="34" builtinId="46" customBuiltin="1"/>
    <cellStyle name="20% - Accent5 10" xfId="217" xr:uid="{C4807893-BE42-49BC-ADB8-0659C5FFB244}"/>
    <cellStyle name="20% - Accent5 11" xfId="237" xr:uid="{D24A7A19-0446-477F-A2CC-4A9842FCC80E}"/>
    <cellStyle name="20% - Accent5 12" xfId="257" xr:uid="{9D9CC9B4-A08B-49F0-9B75-FADE284AD97D}"/>
    <cellStyle name="20% - Accent5 13" xfId="277" xr:uid="{E01552B0-D364-4516-A6C2-B2FFFE81AB09}"/>
    <cellStyle name="20% - Accent5 14" xfId="297" xr:uid="{984719CE-70EC-48A7-81B4-C231494A066E}"/>
    <cellStyle name="20% - Accent5 15" xfId="317" xr:uid="{0A947A06-3852-40CB-A251-DDF04E248D77}"/>
    <cellStyle name="20% - Accent5 16" xfId="337" xr:uid="{C6609590-D03E-4932-ADFB-14F754E76AE0}"/>
    <cellStyle name="20% - Accent5 17" xfId="357" xr:uid="{F40C7057-5F97-4B68-B7E6-2CA58335C765}"/>
    <cellStyle name="20% - Accent5 18" xfId="377" xr:uid="{CD4A5720-94C7-40B1-8646-1928CD925C99}"/>
    <cellStyle name="20% - Accent5 19" xfId="397" xr:uid="{89AFCECD-1AD0-43FB-9DF3-B1AB4C3A4BBF}"/>
    <cellStyle name="20% - Accent5 2" xfId="57" xr:uid="{3ABCDCE8-8C90-4B3D-A866-91202D9F3C1A}"/>
    <cellStyle name="20% - Accent5 20" xfId="417" xr:uid="{1CA0AA54-2FED-473B-8AC7-B5AB2E82F9F0}"/>
    <cellStyle name="20% - Accent5 21" xfId="437" xr:uid="{2EF48BB7-A041-47D4-BDE7-F78AB61D4B20}"/>
    <cellStyle name="20% - Accent5 22" xfId="457" xr:uid="{F3260B9F-DDC5-4A22-B8E1-90F0EBE9511A}"/>
    <cellStyle name="20% - Accent5 23" xfId="477" xr:uid="{A12E69E9-0A60-46B8-8FFA-DF8A764B496A}"/>
    <cellStyle name="20% - Accent5 24" xfId="497" xr:uid="{2F426931-CBF7-4D48-ADD7-B7C2D3742620}"/>
    <cellStyle name="20% - Accent5 25" xfId="517" xr:uid="{D23384B5-AD62-424D-8A0B-01B5A2288FCF}"/>
    <cellStyle name="20% - Accent5 26" xfId="537" xr:uid="{54D0775C-AEEA-4E40-BDB9-4438F34E724A}"/>
    <cellStyle name="20% - Accent5 27" xfId="557" xr:uid="{2825DD78-A1EC-44AF-8B96-4EFFD0FC0936}"/>
    <cellStyle name="20% - Accent5 28" xfId="577" xr:uid="{A0A54D81-1313-4AAD-9230-D812683DBD4C}"/>
    <cellStyle name="20% - Accent5 29" xfId="597" xr:uid="{AEB35156-39B3-4220-BAAB-B24A16F5496E}"/>
    <cellStyle name="20% - Accent5 3" xfId="77" xr:uid="{04C6685A-FF26-4048-8613-C06FC60AA0D7}"/>
    <cellStyle name="20% - Accent5 30" xfId="617" xr:uid="{5EFCA0DA-1D1D-4224-95EF-7C3AED745490}"/>
    <cellStyle name="20% - Accent5 31" xfId="637" xr:uid="{05A850E3-6001-4E49-8492-04967F279EF0}"/>
    <cellStyle name="20% - Accent5 32" xfId="657" xr:uid="{2CEEB6CB-B1AD-4591-8673-34D530AA14FD}"/>
    <cellStyle name="20% - Accent5 33" xfId="677" xr:uid="{B666028F-703C-4EBD-9656-639D416CC243}"/>
    <cellStyle name="20% - Accent5 34" xfId="697" xr:uid="{BF17CB4C-1FC8-40CF-9D5F-D4AC9BFCBBE1}"/>
    <cellStyle name="20% - Accent5 35" xfId="717" xr:uid="{9A5BE698-932D-4E27-A177-5AF26553D1BD}"/>
    <cellStyle name="20% - Accent5 4" xfId="97" xr:uid="{02D9E5FF-3EAC-436C-9BF8-5EDC1F1D9920}"/>
    <cellStyle name="20% - Accent5 5" xfId="117" xr:uid="{DA8D78D0-1ACD-41BB-B0AD-AAB7ACA5F982}"/>
    <cellStyle name="20% - Accent5 6" xfId="137" xr:uid="{2BF2B81E-3DC8-42E4-B4CF-E8E6144CAF0C}"/>
    <cellStyle name="20% - Accent5 7" xfId="157" xr:uid="{46D4B765-684B-43BD-AFB7-2B0766F31060}"/>
    <cellStyle name="20% - Accent5 8" xfId="177" xr:uid="{952014EF-EED1-4995-9F12-B3298A7DD4DD}"/>
    <cellStyle name="20% - Accent5 9" xfId="197" xr:uid="{64EEC05B-B7BE-43CC-98B0-F7BBF577ACC7}"/>
    <cellStyle name="20% - Accent6" xfId="38" builtinId="50" customBuiltin="1"/>
    <cellStyle name="20% - Accent6 10" xfId="220" xr:uid="{A989F18F-7EBB-4766-B544-5FAC0750BA53}"/>
    <cellStyle name="20% - Accent6 11" xfId="240" xr:uid="{6AF4D3EB-AF3E-4FAC-BBE2-477CFD07A983}"/>
    <cellStyle name="20% - Accent6 12" xfId="260" xr:uid="{3D9EFBE3-F687-4B15-9FC2-8DBB7DA9D97A}"/>
    <cellStyle name="20% - Accent6 13" xfId="280" xr:uid="{5893B372-C1CA-4B23-BBBA-796E2D75DACD}"/>
    <cellStyle name="20% - Accent6 14" xfId="300" xr:uid="{BBB2ACD6-5CE4-4194-B095-5C1AD1E5B1E1}"/>
    <cellStyle name="20% - Accent6 15" xfId="320" xr:uid="{CEF9AD25-A161-437B-821B-CFA48E3F04CC}"/>
    <cellStyle name="20% - Accent6 16" xfId="340" xr:uid="{0195E3E6-02F1-46F2-94ED-60FC77041D90}"/>
    <cellStyle name="20% - Accent6 17" xfId="360" xr:uid="{939303A9-B0E6-49C4-85E8-3014212A61B0}"/>
    <cellStyle name="20% - Accent6 18" xfId="380" xr:uid="{D5502CE5-77C9-4840-856D-E68FCAC5E646}"/>
    <cellStyle name="20% - Accent6 19" xfId="400" xr:uid="{19704123-5B71-4467-B6E1-E71962DC6DB5}"/>
    <cellStyle name="20% - Accent6 2" xfId="60" xr:uid="{74F706E4-D58F-4741-9F92-3E89AB5669AD}"/>
    <cellStyle name="20% - Accent6 20" xfId="420" xr:uid="{1E4816F6-F59A-40D5-AB42-DA3FD54C838E}"/>
    <cellStyle name="20% - Accent6 21" xfId="440" xr:uid="{38E0B85C-E9B3-4294-95AC-FD24F972AB17}"/>
    <cellStyle name="20% - Accent6 22" xfId="460" xr:uid="{7920E4FE-CC04-4192-9E6E-F396EADCF97C}"/>
    <cellStyle name="20% - Accent6 23" xfId="480" xr:uid="{634DFD0F-0449-4ACE-8FE0-ECD4EB73E283}"/>
    <cellStyle name="20% - Accent6 24" xfId="500" xr:uid="{7365745B-EA3B-45F6-BB4E-AE383EF87039}"/>
    <cellStyle name="20% - Accent6 25" xfId="520" xr:uid="{A21F88E9-956C-44E5-8F86-184EA3EFB012}"/>
    <cellStyle name="20% - Accent6 26" xfId="540" xr:uid="{331BF0D5-47E6-4043-8C01-0A48399064A6}"/>
    <cellStyle name="20% - Accent6 27" xfId="560" xr:uid="{49E935B6-A5E0-4225-AFB6-D1A0A96726B4}"/>
    <cellStyle name="20% - Accent6 28" xfId="580" xr:uid="{C8F0FA80-4FDF-4CA2-B7EF-F7C3380E0E26}"/>
    <cellStyle name="20% - Accent6 29" xfId="600" xr:uid="{841F02AB-8588-49F5-B9D3-B17AD3A22AC8}"/>
    <cellStyle name="20% - Accent6 3" xfId="80" xr:uid="{41C51264-8956-43A6-8CC2-95C357F8979D}"/>
    <cellStyle name="20% - Accent6 30" xfId="620" xr:uid="{DF599E11-22F2-41B6-8255-D9453E00A85A}"/>
    <cellStyle name="20% - Accent6 31" xfId="640" xr:uid="{AB01D80A-0F69-46F1-A325-7181351718E5}"/>
    <cellStyle name="20% - Accent6 32" xfId="660" xr:uid="{97697DAC-25C7-4845-8B40-53B5792AADA2}"/>
    <cellStyle name="20% - Accent6 33" xfId="680" xr:uid="{E57367AA-632D-4CCB-A6F8-39621495E90F}"/>
    <cellStyle name="20% - Accent6 34" xfId="700" xr:uid="{FAAD27AE-322E-4BBA-AD5D-DC3217A93618}"/>
    <cellStyle name="20% - Accent6 35" xfId="720" xr:uid="{3C6856E1-E327-4CF9-8D27-326F81288490}"/>
    <cellStyle name="20% - Accent6 4" xfId="100" xr:uid="{DDF9C3D2-314D-4CA8-AB26-4D5E377383B2}"/>
    <cellStyle name="20% - Accent6 5" xfId="120" xr:uid="{0858FF25-F233-4DDB-B40C-CD71BD6E1BB2}"/>
    <cellStyle name="20% - Accent6 6" xfId="140" xr:uid="{76B939D3-DC3E-4D67-B79A-DC4C1226E447}"/>
    <cellStyle name="20% - Accent6 7" xfId="160" xr:uid="{305EAAF1-93A8-4A46-82DC-EEC91DF1348C}"/>
    <cellStyle name="20% - Accent6 8" xfId="180" xr:uid="{4FF9E6FB-A387-46DE-8C02-0357A23C6915}"/>
    <cellStyle name="20% - Accent6 9" xfId="200" xr:uid="{7DCC8DB9-1ECF-4476-86F0-5F41811DB6A5}"/>
    <cellStyle name="40% - Accent1" xfId="19" builtinId="31" customBuiltin="1"/>
    <cellStyle name="40% - Accent1 10" xfId="206" xr:uid="{284CAA37-79CE-4A1B-9FCF-7A88E0F8D198}"/>
    <cellStyle name="40% - Accent1 11" xfId="226" xr:uid="{2E8A337F-49FE-479E-93CE-44888491B2B2}"/>
    <cellStyle name="40% - Accent1 12" xfId="246" xr:uid="{794E6540-0A13-4AD8-91A7-DFD9F677730C}"/>
    <cellStyle name="40% - Accent1 13" xfId="266" xr:uid="{B5A1B02A-7D38-4D7E-8659-CB09E01CBD56}"/>
    <cellStyle name="40% - Accent1 14" xfId="286" xr:uid="{D8BC9FD6-92D7-46A8-965E-7F52FA6F56A6}"/>
    <cellStyle name="40% - Accent1 15" xfId="306" xr:uid="{0428AF92-9761-490B-9DFB-EE67193A4CC8}"/>
    <cellStyle name="40% - Accent1 16" xfId="326" xr:uid="{D6CC145F-9CA3-4D1A-8A3D-51B08D860969}"/>
    <cellStyle name="40% - Accent1 17" xfId="346" xr:uid="{9762A41F-4C31-4CDB-98A6-47B9A76C8E25}"/>
    <cellStyle name="40% - Accent1 18" xfId="366" xr:uid="{99CCBD55-6F9C-4DC0-85E7-506DBBE05356}"/>
    <cellStyle name="40% - Accent1 19" xfId="386" xr:uid="{DE039998-D2EB-4A40-B33F-4E0CB9EC19B1}"/>
    <cellStyle name="40% - Accent1 2" xfId="46" xr:uid="{D7FA8596-EF71-4B3B-B004-CA060F4EB1EA}"/>
    <cellStyle name="40% - Accent1 20" xfId="406" xr:uid="{15CA3C32-E943-477C-A0AF-DC6FD0F2CCE5}"/>
    <cellStyle name="40% - Accent1 21" xfId="426" xr:uid="{3AC84247-4D97-460D-90DA-2ECE26D74EC8}"/>
    <cellStyle name="40% - Accent1 22" xfId="446" xr:uid="{89B98B59-2CC2-4934-9030-39B1048BFB37}"/>
    <cellStyle name="40% - Accent1 23" xfId="466" xr:uid="{19722D4A-E54C-44F2-94E8-EBE707D5132E}"/>
    <cellStyle name="40% - Accent1 24" xfId="486" xr:uid="{A6C52F64-E920-44E2-83C2-C7B6897CA8A7}"/>
    <cellStyle name="40% - Accent1 25" xfId="506" xr:uid="{7A893C77-F821-4DD6-9944-D306A5A5EEF8}"/>
    <cellStyle name="40% - Accent1 26" xfId="526" xr:uid="{D7D08AD3-91AF-456E-8D99-4141EDA6F0E7}"/>
    <cellStyle name="40% - Accent1 27" xfId="546" xr:uid="{EEA55C92-0A61-465F-AE8C-36D894945BE2}"/>
    <cellStyle name="40% - Accent1 28" xfId="566" xr:uid="{1D293122-DFF6-4FE7-B483-7F987455D974}"/>
    <cellStyle name="40% - Accent1 29" xfId="586" xr:uid="{FEC7BEC2-A01E-4F9F-9082-E75E307F80A2}"/>
    <cellStyle name="40% - Accent1 3" xfId="66" xr:uid="{C5FF0AE0-9DC6-4325-B779-EA8645D025A2}"/>
    <cellStyle name="40% - Accent1 30" xfId="606" xr:uid="{076C4609-F2E7-4717-8DDF-F1D8B4D2F9CA}"/>
    <cellStyle name="40% - Accent1 31" xfId="626" xr:uid="{0605E21E-F23F-4E72-96FF-5306C4B3574A}"/>
    <cellStyle name="40% - Accent1 32" xfId="646" xr:uid="{036C3A02-98E3-42EA-B91C-B4D634A37B62}"/>
    <cellStyle name="40% - Accent1 33" xfId="666" xr:uid="{985BEBE3-54B6-4C91-ABA0-28EE22F9E372}"/>
    <cellStyle name="40% - Accent1 34" xfId="686" xr:uid="{9CC27324-ACB6-4812-8BA4-BAB71BBF162B}"/>
    <cellStyle name="40% - Accent1 35" xfId="706" xr:uid="{4E24F1D0-CB7C-4544-8F6B-1F2AB26914BE}"/>
    <cellStyle name="40% - Accent1 4" xfId="86" xr:uid="{3B96C922-86CD-46B2-8869-931EE759F933}"/>
    <cellStyle name="40% - Accent1 5" xfId="106" xr:uid="{85B1821B-1A3C-43F6-9E7B-8226FAA848E3}"/>
    <cellStyle name="40% - Accent1 6" xfId="126" xr:uid="{CBB9C84F-918E-42C9-AA09-8DA532BF3D42}"/>
    <cellStyle name="40% - Accent1 7" xfId="146" xr:uid="{B636F771-8D22-4362-8B9C-86BFBB49F69E}"/>
    <cellStyle name="40% - Accent1 8" xfId="166" xr:uid="{68F7464D-1274-4131-9C43-0A8EDEE2B594}"/>
    <cellStyle name="40% - Accent1 9" xfId="186" xr:uid="{3EC9A275-6109-4790-B369-8594F4484CD3}"/>
    <cellStyle name="40% - Accent2" xfId="23" builtinId="35" customBuiltin="1"/>
    <cellStyle name="40% - Accent2 10" xfId="209" xr:uid="{BCB10DB3-3C76-44B5-BDA0-D4F1909B26B7}"/>
    <cellStyle name="40% - Accent2 11" xfId="229" xr:uid="{2730EE82-B703-42D8-856B-1AA41BE85682}"/>
    <cellStyle name="40% - Accent2 12" xfId="249" xr:uid="{775743E9-2832-4E23-AD12-B5BFF59039A2}"/>
    <cellStyle name="40% - Accent2 13" xfId="269" xr:uid="{3F1F4D81-F982-4C15-BF5A-14C0895643CC}"/>
    <cellStyle name="40% - Accent2 14" xfId="289" xr:uid="{FE1F5207-EECB-4E94-A4C2-EB91F1102CD0}"/>
    <cellStyle name="40% - Accent2 15" xfId="309" xr:uid="{DE5D1A61-BFCE-41F2-95DA-656CB9A5F841}"/>
    <cellStyle name="40% - Accent2 16" xfId="329" xr:uid="{9E06AA7E-6CE3-4096-A0F5-4065C3E5B4A2}"/>
    <cellStyle name="40% - Accent2 17" xfId="349" xr:uid="{F9BDE683-D9B7-4781-AFAC-ED9F46571198}"/>
    <cellStyle name="40% - Accent2 18" xfId="369" xr:uid="{67890147-B30D-41A2-8300-709240554FC3}"/>
    <cellStyle name="40% - Accent2 19" xfId="389" xr:uid="{4C18CB3D-287B-4427-ABCF-912C5FC2D3D7}"/>
    <cellStyle name="40% - Accent2 2" xfId="49" xr:uid="{9CD84762-3DC1-497C-A076-6BFC53BE0907}"/>
    <cellStyle name="40% - Accent2 20" xfId="409" xr:uid="{2FE29E33-260D-4563-9D8D-596322C2B0C5}"/>
    <cellStyle name="40% - Accent2 21" xfId="429" xr:uid="{B9156307-9002-4154-AA11-E2062F1F83C0}"/>
    <cellStyle name="40% - Accent2 22" xfId="449" xr:uid="{B3B3E0BD-F48C-4335-83BB-0D75FEF139BE}"/>
    <cellStyle name="40% - Accent2 23" xfId="469" xr:uid="{64CCF227-CBF2-43E2-B697-6431DFCC6ABB}"/>
    <cellStyle name="40% - Accent2 24" xfId="489" xr:uid="{A0C6CBCD-4305-49A5-95F3-DADB255155EC}"/>
    <cellStyle name="40% - Accent2 25" xfId="509" xr:uid="{9FC1A068-CF14-4AA7-B2E6-E4AF14CB9247}"/>
    <cellStyle name="40% - Accent2 26" xfId="529" xr:uid="{53DDF86F-A5A1-41F5-9186-96471CC4EA50}"/>
    <cellStyle name="40% - Accent2 27" xfId="549" xr:uid="{40DE7114-CAC5-49A9-955E-79B82BF967EF}"/>
    <cellStyle name="40% - Accent2 28" xfId="569" xr:uid="{0B99FDE5-37B5-4960-B4A8-ACDCB3CF19CD}"/>
    <cellStyle name="40% - Accent2 29" xfId="589" xr:uid="{5EDD3164-A53E-45C4-802D-B2623F0612AC}"/>
    <cellStyle name="40% - Accent2 3" xfId="69" xr:uid="{C4357897-DAD1-4EE1-92CE-1CCC08958CB2}"/>
    <cellStyle name="40% - Accent2 30" xfId="609" xr:uid="{3330B710-622E-4A70-8125-C1CCCC3C4187}"/>
    <cellStyle name="40% - Accent2 31" xfId="629" xr:uid="{68CFCB38-AFC8-4CF0-81CF-6DEC6C042B1A}"/>
    <cellStyle name="40% - Accent2 32" xfId="649" xr:uid="{BFEF1A91-5EE1-43D4-869E-E10AEE8C0484}"/>
    <cellStyle name="40% - Accent2 33" xfId="669" xr:uid="{346673E1-E4D3-4D86-9A5B-F8A85B941F64}"/>
    <cellStyle name="40% - Accent2 34" xfId="689" xr:uid="{B9E868D7-BFB2-4037-AE75-1A99AC16D82D}"/>
    <cellStyle name="40% - Accent2 35" xfId="709" xr:uid="{65F67669-8885-42BF-898B-6381D8E6068B}"/>
    <cellStyle name="40% - Accent2 4" xfId="89" xr:uid="{33127532-E68D-49A8-B88F-F43C8A99BB7B}"/>
    <cellStyle name="40% - Accent2 5" xfId="109" xr:uid="{7E622D2F-7CB3-47D7-999C-7727FE8350CE}"/>
    <cellStyle name="40% - Accent2 6" xfId="129" xr:uid="{666CB500-8927-4777-AAC3-02F34D89CE7E}"/>
    <cellStyle name="40% - Accent2 7" xfId="149" xr:uid="{DC0542A2-3A92-47E1-A903-9B6BE69AEC6D}"/>
    <cellStyle name="40% - Accent2 8" xfId="169" xr:uid="{839FBE5B-64D4-4FFA-8D70-F9FFE9844002}"/>
    <cellStyle name="40% - Accent2 9" xfId="189" xr:uid="{20E502B5-A4AF-4EE6-8914-841287DC179A}"/>
    <cellStyle name="40% - Accent3" xfId="27" builtinId="39" customBuiltin="1"/>
    <cellStyle name="40% - Accent3 10" xfId="212" xr:uid="{8E71E9C4-DF5D-4BC0-8A00-F6EA5825DCBA}"/>
    <cellStyle name="40% - Accent3 11" xfId="232" xr:uid="{31987D67-A15C-46E3-974B-42C0E1BC37FC}"/>
    <cellStyle name="40% - Accent3 12" xfId="252" xr:uid="{23E8D6B8-02AC-406F-B198-ECDE9E45C8AB}"/>
    <cellStyle name="40% - Accent3 13" xfId="272" xr:uid="{B6FE86BE-84CE-49F4-95BD-9811D8CA92EA}"/>
    <cellStyle name="40% - Accent3 14" xfId="292" xr:uid="{163C6F31-238C-4E77-B9FA-DFC1600EAA1B}"/>
    <cellStyle name="40% - Accent3 15" xfId="312" xr:uid="{8A8057D3-D267-413A-88A6-86F5E0E006E4}"/>
    <cellStyle name="40% - Accent3 16" xfId="332" xr:uid="{2DD2FCF7-96AC-462F-A8B4-E48214D2B7A7}"/>
    <cellStyle name="40% - Accent3 17" xfId="352" xr:uid="{4E115EAE-E951-4EE1-BF0B-42D95576A4BB}"/>
    <cellStyle name="40% - Accent3 18" xfId="372" xr:uid="{397F0BB3-EC52-4428-8970-DFD843D32635}"/>
    <cellStyle name="40% - Accent3 19" xfId="392" xr:uid="{DDAEFD0C-AFB4-4AE4-93ED-67FF02014B40}"/>
    <cellStyle name="40% - Accent3 2" xfId="52" xr:uid="{27345479-383D-4CFE-A5FA-FADC3C3F8862}"/>
    <cellStyle name="40% - Accent3 20" xfId="412" xr:uid="{F94E90FB-92D9-4381-8771-9C15004E5EE5}"/>
    <cellStyle name="40% - Accent3 21" xfId="432" xr:uid="{180509AD-7D18-4324-8048-FDD2928FBF33}"/>
    <cellStyle name="40% - Accent3 22" xfId="452" xr:uid="{E4CF1A4B-498F-437E-A8AE-AF38BD509659}"/>
    <cellStyle name="40% - Accent3 23" xfId="472" xr:uid="{6BF68A1C-24E0-4158-8F04-B3B542478460}"/>
    <cellStyle name="40% - Accent3 24" xfId="492" xr:uid="{D4BCB5F8-E6BE-429B-9C83-A12511E5995D}"/>
    <cellStyle name="40% - Accent3 25" xfId="512" xr:uid="{932BE285-8727-45A5-B2D7-1920D660CA08}"/>
    <cellStyle name="40% - Accent3 26" xfId="532" xr:uid="{05E56D7F-BDE0-4549-82AA-F4BA4B1DB161}"/>
    <cellStyle name="40% - Accent3 27" xfId="552" xr:uid="{7B698F13-1FB8-49F6-87F2-0CD642FF0A15}"/>
    <cellStyle name="40% - Accent3 28" xfId="572" xr:uid="{92D61D46-09A2-4CD4-8843-740C94EEE496}"/>
    <cellStyle name="40% - Accent3 29" xfId="592" xr:uid="{B707A2C9-6559-4EF9-9486-971E1128CED1}"/>
    <cellStyle name="40% - Accent3 3" xfId="72" xr:uid="{C77D3562-F206-4D45-82A3-762687BB42A9}"/>
    <cellStyle name="40% - Accent3 30" xfId="612" xr:uid="{A9014284-6376-435E-9CBF-A1DD6C7AA498}"/>
    <cellStyle name="40% - Accent3 31" xfId="632" xr:uid="{0B79C52A-BC73-46BA-ABA7-B51D81CA304F}"/>
    <cellStyle name="40% - Accent3 32" xfId="652" xr:uid="{01FF62C9-EFFC-4434-A327-0BF566BCC043}"/>
    <cellStyle name="40% - Accent3 33" xfId="672" xr:uid="{FB01AE5A-58F7-45CC-B39B-EB5793CF38A0}"/>
    <cellStyle name="40% - Accent3 34" xfId="692" xr:uid="{B1E4D784-DE03-4D6E-BFAE-C164B4F1E189}"/>
    <cellStyle name="40% - Accent3 35" xfId="712" xr:uid="{F2BF0C35-D1E2-4C3B-9F32-9D610B0659E9}"/>
    <cellStyle name="40% - Accent3 4" xfId="92" xr:uid="{A9A1BC42-5F1D-49B1-BB9F-1369736B9934}"/>
    <cellStyle name="40% - Accent3 5" xfId="112" xr:uid="{3552C925-FC66-4998-8C48-75911FABE9C6}"/>
    <cellStyle name="40% - Accent3 6" xfId="132" xr:uid="{60F9E499-5AFB-42FC-B88D-93DAFCCE1D73}"/>
    <cellStyle name="40% - Accent3 7" xfId="152" xr:uid="{BE1DA9DD-8AE8-4C19-A9A7-6FE35C631307}"/>
    <cellStyle name="40% - Accent3 8" xfId="172" xr:uid="{2D60DBD6-34A5-48BA-BF8B-8239507F9932}"/>
    <cellStyle name="40% - Accent3 9" xfId="192" xr:uid="{C3BEEC06-71B7-4952-B26C-A89050A303E7}"/>
    <cellStyle name="40% - Accent4" xfId="31" builtinId="43" customBuiltin="1"/>
    <cellStyle name="40% - Accent4 10" xfId="215" xr:uid="{EAACA0A4-5DFD-4641-8234-A17A94C469F5}"/>
    <cellStyle name="40% - Accent4 11" xfId="235" xr:uid="{F28875D7-0C7D-4BA3-AB97-6B2AE9446FDA}"/>
    <cellStyle name="40% - Accent4 12" xfId="255" xr:uid="{256B7430-87DB-4D00-A0DB-C2DCC0D5F486}"/>
    <cellStyle name="40% - Accent4 13" xfId="275" xr:uid="{54BBB684-9890-4351-A58E-745A5B746680}"/>
    <cellStyle name="40% - Accent4 14" xfId="295" xr:uid="{CF074417-4C6D-4D19-94F8-453D675064A5}"/>
    <cellStyle name="40% - Accent4 15" xfId="315" xr:uid="{F4A1E3B8-8FC7-4E51-9BCD-83A91D152DC5}"/>
    <cellStyle name="40% - Accent4 16" xfId="335" xr:uid="{8CC3E351-4931-4286-86BA-D0B71D878B34}"/>
    <cellStyle name="40% - Accent4 17" xfId="355" xr:uid="{C1765EAC-2E5E-4F7B-908A-FAA38BAE9699}"/>
    <cellStyle name="40% - Accent4 18" xfId="375" xr:uid="{A8C1B4FA-7913-44C3-902B-2B841F0229EA}"/>
    <cellStyle name="40% - Accent4 19" xfId="395" xr:uid="{5B545A29-51F5-4472-B5C0-0CA3E7A74555}"/>
    <cellStyle name="40% - Accent4 2" xfId="55" xr:uid="{5E8428C9-13A6-4D40-A3E5-AA50A290C77F}"/>
    <cellStyle name="40% - Accent4 20" xfId="415" xr:uid="{48C7BA09-F45C-456E-9F64-79D16F40A27C}"/>
    <cellStyle name="40% - Accent4 21" xfId="435" xr:uid="{9C28AD23-886E-44EC-9D65-3D74D56BFD2B}"/>
    <cellStyle name="40% - Accent4 22" xfId="455" xr:uid="{AC5C3B6B-7E6B-44B8-A780-E26B2EECC6F6}"/>
    <cellStyle name="40% - Accent4 23" xfId="475" xr:uid="{B3FE1C2C-EB47-41BD-9A49-C4351D0AB76A}"/>
    <cellStyle name="40% - Accent4 24" xfId="495" xr:uid="{1CC54077-2491-4755-89EB-C9F6D88BF2DB}"/>
    <cellStyle name="40% - Accent4 25" xfId="515" xr:uid="{6364A9B2-4D66-4DCF-BC53-D647894006DC}"/>
    <cellStyle name="40% - Accent4 26" xfId="535" xr:uid="{8C3C9297-9F8F-48A4-9E88-49366696A574}"/>
    <cellStyle name="40% - Accent4 27" xfId="555" xr:uid="{46271FDE-F298-4FD9-8036-D3F1B9ED7522}"/>
    <cellStyle name="40% - Accent4 28" xfId="575" xr:uid="{BE955557-064E-47E4-97FE-3E1667043EBC}"/>
    <cellStyle name="40% - Accent4 29" xfId="595" xr:uid="{B6308262-F1D3-46FA-A78B-A8DB5E334AE1}"/>
    <cellStyle name="40% - Accent4 3" xfId="75" xr:uid="{1663FC3D-7E60-4FA0-BB39-F60A4B59F183}"/>
    <cellStyle name="40% - Accent4 30" xfId="615" xr:uid="{450F6A8F-6DE4-462F-80BD-DAF88E991CBA}"/>
    <cellStyle name="40% - Accent4 31" xfId="635" xr:uid="{D72A8613-88FC-437A-9A19-85E39A893323}"/>
    <cellStyle name="40% - Accent4 32" xfId="655" xr:uid="{F33313D8-5050-424E-8404-969C93630B68}"/>
    <cellStyle name="40% - Accent4 33" xfId="675" xr:uid="{A32E710C-0617-4602-AFCF-C57856CC193C}"/>
    <cellStyle name="40% - Accent4 34" xfId="695" xr:uid="{78F87E67-E44D-4497-A3CC-9BD2CE00936C}"/>
    <cellStyle name="40% - Accent4 35" xfId="715" xr:uid="{D982F898-4027-46EB-A685-974661E0E1DA}"/>
    <cellStyle name="40% - Accent4 4" xfId="95" xr:uid="{DBFE1E60-FDDD-4716-A3A4-B9948E1BABCB}"/>
    <cellStyle name="40% - Accent4 5" xfId="115" xr:uid="{A6B60716-332C-4158-99F9-9FFDC013164B}"/>
    <cellStyle name="40% - Accent4 6" xfId="135" xr:uid="{2BD0E670-48AD-40DD-9CF8-25E5D4E3F3CB}"/>
    <cellStyle name="40% - Accent4 7" xfId="155" xr:uid="{BBA1360B-A1C4-4D5D-8436-415184D0AD18}"/>
    <cellStyle name="40% - Accent4 8" xfId="175" xr:uid="{FD1FD079-E478-4A3E-BC53-0594C1B06F7F}"/>
    <cellStyle name="40% - Accent4 9" xfId="195" xr:uid="{EC2C28F9-B0E3-412A-898E-ECA16B16D201}"/>
    <cellStyle name="40% - Accent5" xfId="35" builtinId="47" customBuiltin="1"/>
    <cellStyle name="40% - Accent5 10" xfId="218" xr:uid="{AF2E10D6-133F-42CD-A3DC-87E2F3D5336E}"/>
    <cellStyle name="40% - Accent5 11" xfId="238" xr:uid="{41AC866E-9A3D-4885-92A6-76A622793321}"/>
    <cellStyle name="40% - Accent5 12" xfId="258" xr:uid="{5B006D01-D267-43A9-83C2-9FE8EE85C4F9}"/>
    <cellStyle name="40% - Accent5 13" xfId="278" xr:uid="{3BCB5672-5532-4EB6-8910-20EFE4817C56}"/>
    <cellStyle name="40% - Accent5 14" xfId="298" xr:uid="{D9A79F3E-AA72-4D20-9AF8-35A0FEA52B41}"/>
    <cellStyle name="40% - Accent5 15" xfId="318" xr:uid="{8ADACB3A-B079-45B9-84D0-5E3FC80B8752}"/>
    <cellStyle name="40% - Accent5 16" xfId="338" xr:uid="{B7F92036-98E6-437F-AF56-B87175F9112B}"/>
    <cellStyle name="40% - Accent5 17" xfId="358" xr:uid="{709DBCCE-5401-41A6-9EF3-E79FC1DCA237}"/>
    <cellStyle name="40% - Accent5 18" xfId="378" xr:uid="{0B3AA504-5E03-4E2A-AE3C-5E682C668127}"/>
    <cellStyle name="40% - Accent5 19" xfId="398" xr:uid="{C6F69C98-043D-46A9-8FEA-FE038B72C099}"/>
    <cellStyle name="40% - Accent5 2" xfId="58" xr:uid="{DCBA13B2-E116-46DC-97BB-DE5E3C9C231A}"/>
    <cellStyle name="40% - Accent5 20" xfId="418" xr:uid="{7169E56F-9545-4E8E-BA4F-C251C4D4C54F}"/>
    <cellStyle name="40% - Accent5 21" xfId="438" xr:uid="{9E967932-92E9-48BC-8F20-5DAFF0AF0464}"/>
    <cellStyle name="40% - Accent5 22" xfId="458" xr:uid="{2CEEA500-7D15-4E7B-A8FC-74B925CC874E}"/>
    <cellStyle name="40% - Accent5 23" xfId="478" xr:uid="{AF0A5617-9647-4B94-A2FD-1A7C22110A6A}"/>
    <cellStyle name="40% - Accent5 24" xfId="498" xr:uid="{841F3391-375B-4012-9A9C-3DAF21E1D3CE}"/>
    <cellStyle name="40% - Accent5 25" xfId="518" xr:uid="{57673CEC-BAF5-4735-9480-C053F040E171}"/>
    <cellStyle name="40% - Accent5 26" xfId="538" xr:uid="{A9A379CC-E6BE-4AC1-A8CE-84A845CDAC79}"/>
    <cellStyle name="40% - Accent5 27" xfId="558" xr:uid="{7E4AF51B-2FE2-4451-9DDC-74E0C41332F7}"/>
    <cellStyle name="40% - Accent5 28" xfId="578" xr:uid="{1288E102-3388-412B-A65B-9B91645CC24A}"/>
    <cellStyle name="40% - Accent5 29" xfId="598" xr:uid="{0DA24485-5294-4A35-B7FA-AE79A6707CB9}"/>
    <cellStyle name="40% - Accent5 3" xfId="78" xr:uid="{6D53D4F8-F92D-49C4-88FA-941441A04476}"/>
    <cellStyle name="40% - Accent5 30" xfId="618" xr:uid="{1D55C464-4687-406B-87BC-467512B63429}"/>
    <cellStyle name="40% - Accent5 31" xfId="638" xr:uid="{8E62C41D-D48A-446E-BFBE-5D47D58C274C}"/>
    <cellStyle name="40% - Accent5 32" xfId="658" xr:uid="{B085B967-E88E-4014-B9DC-063B0BE01FB1}"/>
    <cellStyle name="40% - Accent5 33" xfId="678" xr:uid="{F3715A36-AE75-4CD0-82D1-1A611B56ACFB}"/>
    <cellStyle name="40% - Accent5 34" xfId="698" xr:uid="{1E491515-4886-4112-8CB9-699CE39B5145}"/>
    <cellStyle name="40% - Accent5 35" xfId="718" xr:uid="{6CD04D72-303D-46D2-A16A-8BF61D85B75D}"/>
    <cellStyle name="40% - Accent5 4" xfId="98" xr:uid="{B24D48B7-A629-4652-AE6B-FAF7C0725F17}"/>
    <cellStyle name="40% - Accent5 5" xfId="118" xr:uid="{DE13B24B-8648-4BEC-B48F-768DEF0F2C0C}"/>
    <cellStyle name="40% - Accent5 6" xfId="138" xr:uid="{CD150B0D-E65E-4A0A-BC8C-930B34039DA3}"/>
    <cellStyle name="40% - Accent5 7" xfId="158" xr:uid="{FFB90B4E-2F68-4C31-B38C-A473C39061BE}"/>
    <cellStyle name="40% - Accent5 8" xfId="178" xr:uid="{E57AA841-D0B8-4B08-B418-0C3D5DBBCFDF}"/>
    <cellStyle name="40% - Accent5 9" xfId="198" xr:uid="{F2C0FAD4-7234-47F3-80CD-19D1C0D07A84}"/>
    <cellStyle name="40% - Accent6" xfId="39" builtinId="51" customBuiltin="1"/>
    <cellStyle name="40% - Accent6 10" xfId="221" xr:uid="{1D18129B-817B-4D75-A362-EE91A0EA91B9}"/>
    <cellStyle name="40% - Accent6 11" xfId="241" xr:uid="{ECF90E41-8C3A-4AC8-8B9C-912E9E8FC665}"/>
    <cellStyle name="40% - Accent6 12" xfId="261" xr:uid="{BC5A3952-B736-4820-94F5-533B3AA75614}"/>
    <cellStyle name="40% - Accent6 13" xfId="281" xr:uid="{A40006C9-0D6B-4140-89E1-5852DF818418}"/>
    <cellStyle name="40% - Accent6 14" xfId="301" xr:uid="{55873B3A-8386-4034-B0B6-93F41739BE00}"/>
    <cellStyle name="40% - Accent6 15" xfId="321" xr:uid="{830D431E-3A98-451B-A7C5-DDAD97C18BA7}"/>
    <cellStyle name="40% - Accent6 16" xfId="341" xr:uid="{3B549FCA-520B-4E79-866D-4C59E474CF8D}"/>
    <cellStyle name="40% - Accent6 17" xfId="361" xr:uid="{3516033E-C067-46E2-AA48-8EEC97A6C144}"/>
    <cellStyle name="40% - Accent6 18" xfId="381" xr:uid="{5F2E53B1-CD95-421D-8F12-F95A0B472D74}"/>
    <cellStyle name="40% - Accent6 19" xfId="401" xr:uid="{BA1DEA1D-E1F0-4424-810F-33718321FA49}"/>
    <cellStyle name="40% - Accent6 2" xfId="61" xr:uid="{0C1FC3F9-FA13-4AA5-9E96-85ED65082AFF}"/>
    <cellStyle name="40% - Accent6 20" xfId="421" xr:uid="{34762B63-FF1E-49FF-801E-4C3F764580C3}"/>
    <cellStyle name="40% - Accent6 21" xfId="441" xr:uid="{4C06BD62-DDBD-46FF-9D44-8AF3CA3CD207}"/>
    <cellStyle name="40% - Accent6 22" xfId="461" xr:uid="{0BFA7B16-067B-4227-945E-4450A941CFCC}"/>
    <cellStyle name="40% - Accent6 23" xfId="481" xr:uid="{E6FF89F4-89C4-40CB-91C2-BE5969E285C5}"/>
    <cellStyle name="40% - Accent6 24" xfId="501" xr:uid="{0E9046A7-0898-45BD-9B72-4A7301DA03A0}"/>
    <cellStyle name="40% - Accent6 25" xfId="521" xr:uid="{E28A2FC3-E833-4DE9-BD9F-CD54751BB162}"/>
    <cellStyle name="40% - Accent6 26" xfId="541" xr:uid="{E121416B-09B4-4E74-A054-85EBF0CB53FE}"/>
    <cellStyle name="40% - Accent6 27" xfId="561" xr:uid="{386F9DCC-5306-46D4-8FA2-6B26C106510C}"/>
    <cellStyle name="40% - Accent6 28" xfId="581" xr:uid="{29824B39-67F8-46B2-972F-D0E742C36133}"/>
    <cellStyle name="40% - Accent6 29" xfId="601" xr:uid="{F8119B39-A8E0-43D0-B9DC-B419FAAEDA24}"/>
    <cellStyle name="40% - Accent6 3" xfId="81" xr:uid="{889080AB-C661-4D0E-8E83-397B856ED88D}"/>
    <cellStyle name="40% - Accent6 30" xfId="621" xr:uid="{BFA09BC4-CFC3-4DEB-9CA8-9C27E3F60E41}"/>
    <cellStyle name="40% - Accent6 31" xfId="641" xr:uid="{30CC4D3F-1A44-4862-BF75-EF7FC2738454}"/>
    <cellStyle name="40% - Accent6 32" xfId="661" xr:uid="{402A25F0-CFD7-4029-9DB8-44FC0415A37A}"/>
    <cellStyle name="40% - Accent6 33" xfId="681" xr:uid="{DF9AD488-D2C5-4566-8284-54B239A39819}"/>
    <cellStyle name="40% - Accent6 34" xfId="701" xr:uid="{DF5CC67D-DBCD-4720-AA1E-968C3A925EBD}"/>
    <cellStyle name="40% - Accent6 35" xfId="721" xr:uid="{D4EFFFAE-F33C-4DD8-A7F1-1C90224345C6}"/>
    <cellStyle name="40% - Accent6 4" xfId="101" xr:uid="{660682A1-69C7-4320-8857-79A9AAD303CB}"/>
    <cellStyle name="40% - Accent6 5" xfId="121" xr:uid="{26989EDF-377D-4949-9DEA-31A38AC7C07F}"/>
    <cellStyle name="40% - Accent6 6" xfId="141" xr:uid="{ACD8F233-1371-415B-B6C7-596073522CAD}"/>
    <cellStyle name="40% - Accent6 7" xfId="161" xr:uid="{E9E5D226-A29C-434E-8C36-79E2CC02DB10}"/>
    <cellStyle name="40% - Accent6 8" xfId="181" xr:uid="{19764F09-3A4A-4970-A062-D435026BA8DA}"/>
    <cellStyle name="40% - Accent6 9" xfId="201" xr:uid="{1CFB7FA6-49BC-4077-9256-4F4CCA11F438}"/>
    <cellStyle name="60% - Accent1" xfId="20" builtinId="32" customBuiltin="1"/>
    <cellStyle name="60% - Accent1 10" xfId="207" xr:uid="{211EF909-187D-495D-8971-5B13FF71C331}"/>
    <cellStyle name="60% - Accent1 11" xfId="227" xr:uid="{306D62FA-6B0A-4076-99FB-7F0EFA74200D}"/>
    <cellStyle name="60% - Accent1 12" xfId="247" xr:uid="{651CB87B-0433-473A-8771-80C5EDA2399F}"/>
    <cellStyle name="60% - Accent1 13" xfId="267" xr:uid="{2A88679C-3F69-44E4-9E27-9ED70B6B38B1}"/>
    <cellStyle name="60% - Accent1 14" xfId="287" xr:uid="{4AD6BF55-6AFA-43CF-8CA2-F6C3D8995D72}"/>
    <cellStyle name="60% - Accent1 15" xfId="307" xr:uid="{148E5FB7-7AF1-40DB-BF13-CEB26011CA16}"/>
    <cellStyle name="60% - Accent1 16" xfId="327" xr:uid="{84E5869F-08C2-4F47-9B35-77942CD8314B}"/>
    <cellStyle name="60% - Accent1 17" xfId="347" xr:uid="{13D2C4E0-BDC3-4D63-8E03-59805FB14B4A}"/>
    <cellStyle name="60% - Accent1 18" xfId="367" xr:uid="{88D383FA-A471-4D81-8BC2-9F7FC8987F6F}"/>
    <cellStyle name="60% - Accent1 19" xfId="387" xr:uid="{78424877-2CD5-4525-9ED2-2DA5D85E0CA7}"/>
    <cellStyle name="60% - Accent1 2" xfId="47" xr:uid="{2C761084-7D76-496F-AE54-19CA53218C04}"/>
    <cellStyle name="60% - Accent1 20" xfId="407" xr:uid="{929CA41F-0420-47F7-B24B-DA63D7D70163}"/>
    <cellStyle name="60% - Accent1 21" xfId="427" xr:uid="{F0D268A0-C5A5-40C4-9DE6-8439DA3AED41}"/>
    <cellStyle name="60% - Accent1 22" xfId="447" xr:uid="{53874700-B08D-4DE7-BA72-5D82BEF1B68C}"/>
    <cellStyle name="60% - Accent1 23" xfId="467" xr:uid="{034DCF01-74D4-4888-A9DC-0BE8BAF1C65C}"/>
    <cellStyle name="60% - Accent1 24" xfId="487" xr:uid="{EDC6EFE6-CDBC-4D6A-85A2-5F778D893871}"/>
    <cellStyle name="60% - Accent1 25" xfId="507" xr:uid="{E36C9CA7-4CB6-4182-8CFB-1C4171A24C5D}"/>
    <cellStyle name="60% - Accent1 26" xfId="527" xr:uid="{96E8D376-3C9A-4755-AF7F-94ECB4A745BA}"/>
    <cellStyle name="60% - Accent1 27" xfId="547" xr:uid="{1AD2DD91-999E-4AFC-A47F-5D795C8B8A2F}"/>
    <cellStyle name="60% - Accent1 28" xfId="567" xr:uid="{359EF025-8088-4A88-9A30-B217B5614988}"/>
    <cellStyle name="60% - Accent1 29" xfId="587" xr:uid="{AA2FFC56-D5C0-4B07-8F71-6A6ABF0DA18A}"/>
    <cellStyle name="60% - Accent1 3" xfId="67" xr:uid="{0F4E860D-845C-4AF9-B72B-A8AF95A1C544}"/>
    <cellStyle name="60% - Accent1 30" xfId="607" xr:uid="{15E0EE8F-96F8-4D62-BFFB-FCF579EC8401}"/>
    <cellStyle name="60% - Accent1 31" xfId="627" xr:uid="{99579473-E140-4844-8647-83636C44E3BB}"/>
    <cellStyle name="60% - Accent1 32" xfId="647" xr:uid="{98286587-BABE-4F23-9678-43D588F8F168}"/>
    <cellStyle name="60% - Accent1 33" xfId="667" xr:uid="{59F71CB7-EC4A-400C-944F-E95FC50230A3}"/>
    <cellStyle name="60% - Accent1 34" xfId="687" xr:uid="{3A71EB63-D4C5-4048-857C-8CACF15759A8}"/>
    <cellStyle name="60% - Accent1 35" xfId="707" xr:uid="{E8744997-0C55-4450-A401-E4F4A7BF7B6B}"/>
    <cellStyle name="60% - Accent1 4" xfId="87" xr:uid="{1320768F-2302-47B1-B78E-363806720AE3}"/>
    <cellStyle name="60% - Accent1 5" xfId="107" xr:uid="{C4657FB0-E7DB-4B8C-9D62-0F75DC3116BF}"/>
    <cellStyle name="60% - Accent1 6" xfId="127" xr:uid="{10B5DB45-3755-4831-8D16-44550637FB33}"/>
    <cellStyle name="60% - Accent1 7" xfId="147" xr:uid="{608F2930-7B36-4725-B121-B72898A4BC1D}"/>
    <cellStyle name="60% - Accent1 8" xfId="167" xr:uid="{A7C4809D-EBD9-48F0-A36F-7C5043BC4B12}"/>
    <cellStyle name="60% - Accent1 9" xfId="187" xr:uid="{5B28E3C8-A6D5-4B75-8C5B-BEE41369FEBF}"/>
    <cellStyle name="60% - Accent2" xfId="24" builtinId="36" customBuiltin="1"/>
    <cellStyle name="60% - Accent2 10" xfId="210" xr:uid="{9ADBE7C1-3742-4793-A35D-292105C47EE7}"/>
    <cellStyle name="60% - Accent2 11" xfId="230" xr:uid="{BB816D67-F8C1-43AE-99D8-0C94A064CCC7}"/>
    <cellStyle name="60% - Accent2 12" xfId="250" xr:uid="{A86FE201-7E2E-40F4-B958-604EE92631DC}"/>
    <cellStyle name="60% - Accent2 13" xfId="270" xr:uid="{EEB28461-2DC3-41FD-99A9-81CDC6B2291D}"/>
    <cellStyle name="60% - Accent2 14" xfId="290" xr:uid="{0DCA7D5C-4B97-4067-A376-66CD8F18E99B}"/>
    <cellStyle name="60% - Accent2 15" xfId="310" xr:uid="{0B07A03C-5270-4793-B047-5281C787E167}"/>
    <cellStyle name="60% - Accent2 16" xfId="330" xr:uid="{F1407B06-6FE2-47EE-94AE-0150814BC24C}"/>
    <cellStyle name="60% - Accent2 17" xfId="350" xr:uid="{DAFD6261-0B60-4EB6-9BC6-491D2B9BCE8C}"/>
    <cellStyle name="60% - Accent2 18" xfId="370" xr:uid="{DC266194-C4E0-424B-8CC0-550456CEB459}"/>
    <cellStyle name="60% - Accent2 19" xfId="390" xr:uid="{C14E682B-85C6-443A-8352-F7A308495147}"/>
    <cellStyle name="60% - Accent2 2" xfId="50" xr:uid="{95AC152C-91C8-462B-89F2-7B7BA22D2B0C}"/>
    <cellStyle name="60% - Accent2 20" xfId="410" xr:uid="{D3233991-7CF7-4C4A-9859-B0CB7B8D717E}"/>
    <cellStyle name="60% - Accent2 21" xfId="430" xr:uid="{FD19606D-65D8-4599-B047-8E6317EDABC1}"/>
    <cellStyle name="60% - Accent2 22" xfId="450" xr:uid="{8D33808D-546B-4618-B881-1E999CC7932C}"/>
    <cellStyle name="60% - Accent2 23" xfId="470" xr:uid="{87E110F1-8D06-4F32-B7C8-E6DD777155B1}"/>
    <cellStyle name="60% - Accent2 24" xfId="490" xr:uid="{F73C1293-BCC1-416D-BC38-17FB6EB7FDB7}"/>
    <cellStyle name="60% - Accent2 25" xfId="510" xr:uid="{5A43DC4D-B1CD-43AD-AADA-D4123BC521D9}"/>
    <cellStyle name="60% - Accent2 26" xfId="530" xr:uid="{3039BAB1-F4E4-4C92-B10E-F23AB0B01F4D}"/>
    <cellStyle name="60% - Accent2 27" xfId="550" xr:uid="{7A5CC28B-2429-4080-8684-8F3714CE74A7}"/>
    <cellStyle name="60% - Accent2 28" xfId="570" xr:uid="{A0932490-D56C-4C9D-B768-854D18EFB2D7}"/>
    <cellStyle name="60% - Accent2 29" xfId="590" xr:uid="{47A24AB8-5FB3-4B37-AF1B-37EC68452731}"/>
    <cellStyle name="60% - Accent2 3" xfId="70" xr:uid="{8D138D09-77FC-4B39-A5B2-6E941CE3C845}"/>
    <cellStyle name="60% - Accent2 30" xfId="610" xr:uid="{61ECF0B3-95C6-4AB0-AC87-F04F2CC4D6AF}"/>
    <cellStyle name="60% - Accent2 31" xfId="630" xr:uid="{02A737E1-3B6B-48B4-BF4E-A7F23F8B4296}"/>
    <cellStyle name="60% - Accent2 32" xfId="650" xr:uid="{8B8975CE-00B1-4653-A1EC-67E0FC62E554}"/>
    <cellStyle name="60% - Accent2 33" xfId="670" xr:uid="{F1215B5C-36FF-4294-9BF2-35E85881468E}"/>
    <cellStyle name="60% - Accent2 34" xfId="690" xr:uid="{AF2959D9-5019-4673-AF64-477B9E2B2458}"/>
    <cellStyle name="60% - Accent2 35" xfId="710" xr:uid="{22A866A6-CA66-4B28-99DE-65A386106531}"/>
    <cellStyle name="60% - Accent2 4" xfId="90" xr:uid="{83C5C824-EFE3-415B-A8A8-77AE06203008}"/>
    <cellStyle name="60% - Accent2 5" xfId="110" xr:uid="{86E369B5-E3C4-4F75-A76C-79994F2DBC1C}"/>
    <cellStyle name="60% - Accent2 6" xfId="130" xr:uid="{DD288E3B-76C6-4830-BA9A-26A82A30AFF5}"/>
    <cellStyle name="60% - Accent2 7" xfId="150" xr:uid="{7409C318-BFF3-457E-861B-63610FD31CB8}"/>
    <cellStyle name="60% - Accent2 8" xfId="170" xr:uid="{7CD97B63-5E90-45EE-9760-409D1A8F76B0}"/>
    <cellStyle name="60% - Accent2 9" xfId="190" xr:uid="{0FD45B84-B386-414F-BA9B-1CD8A38DC703}"/>
    <cellStyle name="60% - Accent3" xfId="28" builtinId="40" customBuiltin="1"/>
    <cellStyle name="60% - Accent3 10" xfId="213" xr:uid="{79A7709E-26DF-4C1F-AB26-7F24F2CCAB4C}"/>
    <cellStyle name="60% - Accent3 11" xfId="233" xr:uid="{296BDB66-A783-4F2D-89AD-0B1FD3640C5A}"/>
    <cellStyle name="60% - Accent3 12" xfId="253" xr:uid="{BC742BB2-6E47-47DD-A17B-3F4F49D3B554}"/>
    <cellStyle name="60% - Accent3 13" xfId="273" xr:uid="{AF36727E-001F-4176-A1D6-658749CD405B}"/>
    <cellStyle name="60% - Accent3 14" xfId="293" xr:uid="{E7040707-FB45-4E29-9046-896A7F822DE8}"/>
    <cellStyle name="60% - Accent3 15" xfId="313" xr:uid="{B5CCB62B-EEAD-4A7E-843A-2DF9C64F4F5A}"/>
    <cellStyle name="60% - Accent3 16" xfId="333" xr:uid="{5AF2C726-2CD3-405D-AAEE-86F795B85914}"/>
    <cellStyle name="60% - Accent3 17" xfId="353" xr:uid="{92525B1C-ED76-4DCA-AC95-B4A84FE41E6A}"/>
    <cellStyle name="60% - Accent3 18" xfId="373" xr:uid="{08F48CC0-7BB3-47A1-BE17-CDC457CCE9F3}"/>
    <cellStyle name="60% - Accent3 19" xfId="393" xr:uid="{0003CCCE-AD34-49AD-AC62-B6C68F69F3CB}"/>
    <cellStyle name="60% - Accent3 2" xfId="53" xr:uid="{B3C9CAA0-EA62-4DBF-A2E6-7530B4F2081C}"/>
    <cellStyle name="60% - Accent3 20" xfId="413" xr:uid="{5DB9BE63-4D26-4705-93B0-DAEB2AFC3B30}"/>
    <cellStyle name="60% - Accent3 21" xfId="433" xr:uid="{32D9623B-036A-4394-BE5E-56F130842D8A}"/>
    <cellStyle name="60% - Accent3 22" xfId="453" xr:uid="{3277ABA3-3357-41F9-9356-B2E536F33261}"/>
    <cellStyle name="60% - Accent3 23" xfId="473" xr:uid="{1BDFABF3-D780-4DFB-8455-9A834FCD50FC}"/>
    <cellStyle name="60% - Accent3 24" xfId="493" xr:uid="{8D0AA66E-D325-45F2-A473-717F8BE98E70}"/>
    <cellStyle name="60% - Accent3 25" xfId="513" xr:uid="{0ADAC121-FCE8-4D6C-9EB7-997E33C25DDE}"/>
    <cellStyle name="60% - Accent3 26" xfId="533" xr:uid="{10C4BF44-1DE8-4DFA-9C09-A0B972533362}"/>
    <cellStyle name="60% - Accent3 27" xfId="553" xr:uid="{FDD669F7-F4FA-42D3-871A-3CA9307EF590}"/>
    <cellStyle name="60% - Accent3 28" xfId="573" xr:uid="{3821C6F6-F142-4825-A00C-12B180863E8A}"/>
    <cellStyle name="60% - Accent3 29" xfId="593" xr:uid="{6B8BDD68-DA32-42F7-B3C9-6672D56A402D}"/>
    <cellStyle name="60% - Accent3 3" xfId="73" xr:uid="{6C69A61D-10A0-4671-84CF-8DE68EE3EFF3}"/>
    <cellStyle name="60% - Accent3 30" xfId="613" xr:uid="{D3140815-170A-403C-B098-1DAAF6ED8820}"/>
    <cellStyle name="60% - Accent3 31" xfId="633" xr:uid="{A268921B-14FD-445F-8395-A44BF73C82B8}"/>
    <cellStyle name="60% - Accent3 32" xfId="653" xr:uid="{CD2ADAD7-87EB-4015-907A-48CEBAD23D9C}"/>
    <cellStyle name="60% - Accent3 33" xfId="673" xr:uid="{A5A1AC64-AADD-45FE-855B-5BB47B2E7FB8}"/>
    <cellStyle name="60% - Accent3 34" xfId="693" xr:uid="{8299B894-046A-4110-AFC8-90DC3924CC87}"/>
    <cellStyle name="60% - Accent3 35" xfId="713" xr:uid="{56D67E97-8DC9-45A3-9B89-715475DC6A88}"/>
    <cellStyle name="60% - Accent3 4" xfId="93" xr:uid="{ABE31233-0A80-4325-B77A-3DD601CD19FE}"/>
    <cellStyle name="60% - Accent3 5" xfId="113" xr:uid="{F0F03E89-B5D3-4021-906C-B3179CADEC84}"/>
    <cellStyle name="60% - Accent3 6" xfId="133" xr:uid="{A335C10E-94D0-48BB-87EB-8956117FF487}"/>
    <cellStyle name="60% - Accent3 7" xfId="153" xr:uid="{028895F0-B95D-405A-AAAB-40D4A9CFDBDD}"/>
    <cellStyle name="60% - Accent3 8" xfId="173" xr:uid="{3621ED01-F179-4D3F-92A4-BB524C40FC3D}"/>
    <cellStyle name="60% - Accent3 9" xfId="193" xr:uid="{D0A9E7F2-37DA-466B-8CE3-AC88D09CD90D}"/>
    <cellStyle name="60% - Accent4" xfId="32" builtinId="44" customBuiltin="1"/>
    <cellStyle name="60% - Accent4 10" xfId="216" xr:uid="{56AD2483-B375-400E-9CD6-4651611C06C8}"/>
    <cellStyle name="60% - Accent4 11" xfId="236" xr:uid="{316CBF1C-877C-4FF0-9E0D-010C5745A057}"/>
    <cellStyle name="60% - Accent4 12" xfId="256" xr:uid="{9EEE59C1-BF88-400D-AF33-83D21CCD7262}"/>
    <cellStyle name="60% - Accent4 13" xfId="276" xr:uid="{B2A93853-8A75-4F26-9E40-C4F7E21F5AA1}"/>
    <cellStyle name="60% - Accent4 14" xfId="296" xr:uid="{0BC9B174-6D8B-46E3-BF72-0AC6534D8B86}"/>
    <cellStyle name="60% - Accent4 15" xfId="316" xr:uid="{C4C7DC0C-643E-4865-84FD-C5CA6BBD62B4}"/>
    <cellStyle name="60% - Accent4 16" xfId="336" xr:uid="{872DBCFC-A69C-4FAC-A0A6-8CB254C59507}"/>
    <cellStyle name="60% - Accent4 17" xfId="356" xr:uid="{48AD1F91-0BB4-4034-BEB4-D12715E5CA3C}"/>
    <cellStyle name="60% - Accent4 18" xfId="376" xr:uid="{B12543FF-34B5-4674-B752-6D1D355CCC55}"/>
    <cellStyle name="60% - Accent4 19" xfId="396" xr:uid="{5685AF95-4CB8-4DB8-B50C-8FED9089EE6E}"/>
    <cellStyle name="60% - Accent4 2" xfId="56" xr:uid="{FA413333-7483-4D59-A726-025E5D799FF0}"/>
    <cellStyle name="60% - Accent4 20" xfId="416" xr:uid="{465ECEA1-4F30-4ED0-8491-44EBA425ADE2}"/>
    <cellStyle name="60% - Accent4 21" xfId="436" xr:uid="{1509C018-BBDD-4751-8B43-E7C5A826BDC9}"/>
    <cellStyle name="60% - Accent4 22" xfId="456" xr:uid="{1579662F-3929-4D6F-892A-9E00C6FA9E4F}"/>
    <cellStyle name="60% - Accent4 23" xfId="476" xr:uid="{606C67D8-9CDC-404C-B13B-5184374D96E7}"/>
    <cellStyle name="60% - Accent4 24" xfId="496" xr:uid="{696D375F-F10D-4929-A4ED-C6DE48DB4374}"/>
    <cellStyle name="60% - Accent4 25" xfId="516" xr:uid="{1BEAA4CA-B38A-4750-AB7A-3296071F8459}"/>
    <cellStyle name="60% - Accent4 26" xfId="536" xr:uid="{02ADB13E-A088-453D-ABB7-F24BAF00F577}"/>
    <cellStyle name="60% - Accent4 27" xfId="556" xr:uid="{FFF384C0-36F1-4012-8007-B68C58C7ADC6}"/>
    <cellStyle name="60% - Accent4 28" xfId="576" xr:uid="{44898F7E-763F-4B77-98BC-5EE33800EBCD}"/>
    <cellStyle name="60% - Accent4 29" xfId="596" xr:uid="{A7BF7B2A-13C7-4ED1-B52D-A6595D2713EC}"/>
    <cellStyle name="60% - Accent4 3" xfId="76" xr:uid="{F5512C6D-FA54-40E6-A274-3EE4F99AA20B}"/>
    <cellStyle name="60% - Accent4 30" xfId="616" xr:uid="{A9C2D0A5-E893-4FE3-89E3-FBF9E9E5BCD5}"/>
    <cellStyle name="60% - Accent4 31" xfId="636" xr:uid="{95262AF5-9594-46A7-903C-4B3F47B5AB15}"/>
    <cellStyle name="60% - Accent4 32" xfId="656" xr:uid="{3B97EC22-BE17-4D77-ADBC-88791A8EDCC6}"/>
    <cellStyle name="60% - Accent4 33" xfId="676" xr:uid="{A3841AE8-9701-4FB6-BCE6-EC7E27EE3C69}"/>
    <cellStyle name="60% - Accent4 34" xfId="696" xr:uid="{12C1F5B0-8B69-43B9-BC57-2BB2C6903A60}"/>
    <cellStyle name="60% - Accent4 35" xfId="716" xr:uid="{EAB811E7-5CE0-4ADC-B2E5-B9A098B0BFDD}"/>
    <cellStyle name="60% - Accent4 4" xfId="96" xr:uid="{CDFB6F97-C803-419C-9564-D6CC70990CD0}"/>
    <cellStyle name="60% - Accent4 5" xfId="116" xr:uid="{F719006D-7D3B-4660-8660-ED2E599823C9}"/>
    <cellStyle name="60% - Accent4 6" xfId="136" xr:uid="{1C2A97AB-E986-4A07-9B00-CCE5327E6471}"/>
    <cellStyle name="60% - Accent4 7" xfId="156" xr:uid="{7D57C3D4-58A9-4C3E-A9FA-8A7AB1AC0B16}"/>
    <cellStyle name="60% - Accent4 8" xfId="176" xr:uid="{78B249A6-34B5-4DE4-BC02-63607CC0DB70}"/>
    <cellStyle name="60% - Accent4 9" xfId="196" xr:uid="{738571D6-8D98-43F6-BCD6-20231A7C4EBE}"/>
    <cellStyle name="60% - Accent5" xfId="36" builtinId="48" customBuiltin="1"/>
    <cellStyle name="60% - Accent5 10" xfId="219" xr:uid="{0C2328C2-1D35-41C1-8C55-16F7203EAC74}"/>
    <cellStyle name="60% - Accent5 11" xfId="239" xr:uid="{A9CCE838-D34F-47C9-8075-FDAE0619EAA8}"/>
    <cellStyle name="60% - Accent5 12" xfId="259" xr:uid="{73E40BA3-094B-4B6A-A0C0-0C88AF07B282}"/>
    <cellStyle name="60% - Accent5 13" xfId="279" xr:uid="{D8BD7107-B112-496F-BDBF-4A86085CEE1A}"/>
    <cellStyle name="60% - Accent5 14" xfId="299" xr:uid="{3C116145-E27E-4B7A-BF62-A925A64FC2A2}"/>
    <cellStyle name="60% - Accent5 15" xfId="319" xr:uid="{F5CCBD3A-2502-4A01-948A-37ABD3C708CB}"/>
    <cellStyle name="60% - Accent5 16" xfId="339" xr:uid="{F9B374A2-353C-4EC0-9599-D29CF2933789}"/>
    <cellStyle name="60% - Accent5 17" xfId="359" xr:uid="{CC5428C5-0DBB-4434-9272-979FF980D31B}"/>
    <cellStyle name="60% - Accent5 18" xfId="379" xr:uid="{E7E0F3D0-BAB6-4304-900A-A42DDB476ECE}"/>
    <cellStyle name="60% - Accent5 19" xfId="399" xr:uid="{4B6B0185-C8B3-49AF-9CC6-C1A8D122F52B}"/>
    <cellStyle name="60% - Accent5 2" xfId="59" xr:uid="{2865EE7D-CD9B-4EC8-8C23-D74A43873122}"/>
    <cellStyle name="60% - Accent5 20" xfId="419" xr:uid="{AF4D5068-55F3-44F8-B000-B509F0BC1349}"/>
    <cellStyle name="60% - Accent5 21" xfId="439" xr:uid="{E41C9248-CA4B-442B-A152-61481C4DFBF9}"/>
    <cellStyle name="60% - Accent5 22" xfId="459" xr:uid="{65E61F44-6C8C-44CD-B2C6-C412B7FE721D}"/>
    <cellStyle name="60% - Accent5 23" xfId="479" xr:uid="{20D4A5A8-E1DE-4C8E-BDA9-4081FEB13CC4}"/>
    <cellStyle name="60% - Accent5 24" xfId="499" xr:uid="{C083B0A9-7D0B-44BE-8411-EBDC2ACDA176}"/>
    <cellStyle name="60% - Accent5 25" xfId="519" xr:uid="{347FFBA8-AF4F-42A2-ABDA-F7075B32EE22}"/>
    <cellStyle name="60% - Accent5 26" xfId="539" xr:uid="{E5637802-C5EB-4328-83DC-5A24BDFEF8A3}"/>
    <cellStyle name="60% - Accent5 27" xfId="559" xr:uid="{11BA4A18-3F8E-4615-9C71-02D52422A92A}"/>
    <cellStyle name="60% - Accent5 28" xfId="579" xr:uid="{B4F422A7-21D0-4178-B8D8-80CCD65DD429}"/>
    <cellStyle name="60% - Accent5 29" xfId="599" xr:uid="{550749C1-9E42-4F48-A836-B14372D877BA}"/>
    <cellStyle name="60% - Accent5 3" xfId="79" xr:uid="{5D3ADB93-35EC-4F06-A0A0-0E0569ECBA99}"/>
    <cellStyle name="60% - Accent5 30" xfId="619" xr:uid="{25441FD7-55DC-4E6C-85BD-D1C5E1D7BD2B}"/>
    <cellStyle name="60% - Accent5 31" xfId="639" xr:uid="{E240281C-6888-45B2-81B4-071655CB9FF4}"/>
    <cellStyle name="60% - Accent5 32" xfId="659" xr:uid="{8190137D-DB71-45EB-B68E-6B7CB5E3CB80}"/>
    <cellStyle name="60% - Accent5 33" xfId="679" xr:uid="{EACDC4DC-7A6E-4F74-98F9-C6A1B007F482}"/>
    <cellStyle name="60% - Accent5 34" xfId="699" xr:uid="{92A0072B-5209-4F40-BFF6-5C5E3D407E4D}"/>
    <cellStyle name="60% - Accent5 35" xfId="719" xr:uid="{3E1FD17E-B7CC-41F2-A811-096DE733C647}"/>
    <cellStyle name="60% - Accent5 4" xfId="99" xr:uid="{8AAFD6F2-61AF-4554-B75B-CE52FE1CA8F0}"/>
    <cellStyle name="60% - Accent5 5" xfId="119" xr:uid="{11CCB16E-04E4-4471-BD47-EB4BA8288318}"/>
    <cellStyle name="60% - Accent5 6" xfId="139" xr:uid="{FBFBEE42-014E-45A1-B0D5-C7847824851F}"/>
    <cellStyle name="60% - Accent5 7" xfId="159" xr:uid="{12388B2F-EAE7-4599-8D17-57BF41FB6904}"/>
    <cellStyle name="60% - Accent5 8" xfId="179" xr:uid="{D02109B3-2B1E-4FEC-B839-3499B4CA8CD8}"/>
    <cellStyle name="60% - Accent5 9" xfId="199" xr:uid="{7A984B52-CA1E-4037-B43D-C76D99B71848}"/>
    <cellStyle name="60% - Accent6" xfId="40" builtinId="52" customBuiltin="1"/>
    <cellStyle name="60% - Accent6 10" xfId="222" xr:uid="{5B96DC76-BE55-473E-8B10-218EADC2BD13}"/>
    <cellStyle name="60% - Accent6 11" xfId="242" xr:uid="{AEB9C598-CD2C-40D5-A907-EB20C78351FE}"/>
    <cellStyle name="60% - Accent6 12" xfId="262" xr:uid="{564DF308-0A1D-460A-8D58-066D244A393E}"/>
    <cellStyle name="60% - Accent6 13" xfId="282" xr:uid="{23C97483-F625-4079-8B1A-0FE46AD15396}"/>
    <cellStyle name="60% - Accent6 14" xfId="302" xr:uid="{8F12E7D0-A5E2-4BD3-A1FA-9CAB588A0CE7}"/>
    <cellStyle name="60% - Accent6 15" xfId="322" xr:uid="{9FED77B7-81C2-481B-A20C-FF49913BEE51}"/>
    <cellStyle name="60% - Accent6 16" xfId="342" xr:uid="{5F86458E-8D61-48D2-8C05-D11C01642C45}"/>
    <cellStyle name="60% - Accent6 17" xfId="362" xr:uid="{57BB364E-7360-466A-ADF8-CE89B55B89F4}"/>
    <cellStyle name="60% - Accent6 18" xfId="382" xr:uid="{1C56C787-A1D0-4204-93FA-5E1BF89862EB}"/>
    <cellStyle name="60% - Accent6 19" xfId="402" xr:uid="{B6A8BAA6-0055-45E0-B5B9-C69B86D462DD}"/>
    <cellStyle name="60% - Accent6 2" xfId="62" xr:uid="{784EF3AC-5948-4FA8-AE0C-E5437ABEEC11}"/>
    <cellStyle name="60% - Accent6 20" xfId="422" xr:uid="{A277C86C-DA8A-47EB-B16F-FC7E406A1292}"/>
    <cellStyle name="60% - Accent6 21" xfId="442" xr:uid="{CFE6E772-AE8D-4410-AC82-70D9D6AB5DB3}"/>
    <cellStyle name="60% - Accent6 22" xfId="462" xr:uid="{0CCC534C-3B52-4464-94F6-66C2F87C29FD}"/>
    <cellStyle name="60% - Accent6 23" xfId="482" xr:uid="{819F0003-ACEE-40A9-9006-FB814A54B137}"/>
    <cellStyle name="60% - Accent6 24" xfId="502" xr:uid="{13A1B04A-D46A-4D4C-922F-8BF0D52AD938}"/>
    <cellStyle name="60% - Accent6 25" xfId="522" xr:uid="{961E8A40-793F-4B33-A876-734369FAB612}"/>
    <cellStyle name="60% - Accent6 26" xfId="542" xr:uid="{5F97077F-9658-42A3-B1FD-037C3FFE66F6}"/>
    <cellStyle name="60% - Accent6 27" xfId="562" xr:uid="{D7C54376-FCD0-4D30-A575-A557A3BE4235}"/>
    <cellStyle name="60% - Accent6 28" xfId="582" xr:uid="{CC10833E-2FAE-4ECE-AEA7-C30AC3F57AF4}"/>
    <cellStyle name="60% - Accent6 29" xfId="602" xr:uid="{D7FBADAE-29E6-4ABD-A8DC-9E9B4FFD0370}"/>
    <cellStyle name="60% - Accent6 3" xfId="82" xr:uid="{99D4D5AD-E101-4052-88BC-69E7E8B110F1}"/>
    <cellStyle name="60% - Accent6 30" xfId="622" xr:uid="{2D5D074B-048B-42A4-A4D2-7C96AA65A3A4}"/>
    <cellStyle name="60% - Accent6 31" xfId="642" xr:uid="{9616D562-3A9B-472A-B0C4-8B58C4BE924B}"/>
    <cellStyle name="60% - Accent6 32" xfId="662" xr:uid="{AFE7939C-9C4D-4F6E-9D04-F65961701B96}"/>
    <cellStyle name="60% - Accent6 33" xfId="682" xr:uid="{773EB937-4967-4B60-ADCB-D7DC6D8CCF01}"/>
    <cellStyle name="60% - Accent6 34" xfId="702" xr:uid="{6AA37752-C3D0-47E3-A4A4-3A2AF27B982C}"/>
    <cellStyle name="60% - Accent6 35" xfId="722" xr:uid="{3443FE93-039E-4FFC-8DBC-469B228486AC}"/>
    <cellStyle name="60% - Accent6 4" xfId="102" xr:uid="{F5333DFC-9456-4BB9-B87E-5F5A9FA87246}"/>
    <cellStyle name="60% - Accent6 5" xfId="122" xr:uid="{1F66E3F1-8D3C-4B5C-BE0C-FFB866FBC06A}"/>
    <cellStyle name="60% - Accent6 6" xfId="142" xr:uid="{32DF3392-30E9-4F09-A630-433E75DB0FCA}"/>
    <cellStyle name="60% - Accent6 7" xfId="162" xr:uid="{78B4601D-B084-4EC4-AA2B-2BB2C44D1D2A}"/>
    <cellStyle name="60% - Accent6 8" xfId="182" xr:uid="{3A6CB32D-2DC1-412E-ADF3-41485A168BE9}"/>
    <cellStyle name="60% - Accent6 9" xfId="202" xr:uid="{64D48F45-EA63-4F4E-BC95-01A6074ED4D3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183" xr:uid="{69EB3DB4-8B82-4676-8380-98A417CAB834}"/>
    <cellStyle name="Normal 11" xfId="203" xr:uid="{B6251844-2540-4C0C-B9EA-8E357103E1F8}"/>
    <cellStyle name="Normal 12" xfId="223" xr:uid="{05C835CF-365E-4C5E-B63B-A943F5C9AA53}"/>
    <cellStyle name="Normal 13" xfId="243" xr:uid="{5290314E-843A-4DB8-A595-33BE2CF053FB}"/>
    <cellStyle name="Normal 14" xfId="263" xr:uid="{E2279D53-58AC-45E1-80C9-7FB431227968}"/>
    <cellStyle name="Normal 15" xfId="283" xr:uid="{1247C7AF-D189-437E-AC56-7D6F6C2EA70A}"/>
    <cellStyle name="Normal 16" xfId="303" xr:uid="{4518735E-251F-4A12-B64D-E0F553491337}"/>
    <cellStyle name="Normal 17" xfId="323" xr:uid="{2B5F1925-6709-46DC-9A4E-0E4E939C6742}"/>
    <cellStyle name="Normal 18" xfId="343" xr:uid="{1547B0A4-692E-4891-93AB-9D9DE0A339EA}"/>
    <cellStyle name="Normal 19" xfId="363" xr:uid="{06DE2884-B778-48D2-ACFD-FD4126B12139}"/>
    <cellStyle name="Normal 2" xfId="41" xr:uid="{4FD41765-5792-4293-AC43-0CE3F2A7F42D}"/>
    <cellStyle name="Normal 20" xfId="383" xr:uid="{0580ABA6-DB9F-411B-82C9-B7B17AFBB950}"/>
    <cellStyle name="Normal 21" xfId="403" xr:uid="{4F2CE133-5208-42D4-997C-8EAACDB221C3}"/>
    <cellStyle name="Normal 22" xfId="423" xr:uid="{C0755187-0A00-413D-BB17-1FA8AFE70C35}"/>
    <cellStyle name="Normal 23" xfId="443" xr:uid="{5D95EFD7-E5F9-4C18-91C9-C25FD0E86CE3}"/>
    <cellStyle name="Normal 24" xfId="463" xr:uid="{C88B92D7-CEEA-4532-948A-3C4FB766E988}"/>
    <cellStyle name="Normal 25" xfId="483" xr:uid="{CA350321-A940-4D85-8C63-8A6BB226E54A}"/>
    <cellStyle name="Normal 26" xfId="503" xr:uid="{69043F52-E180-4371-844E-696E0577D751}"/>
    <cellStyle name="Normal 27" xfId="523" xr:uid="{603666B4-FAB1-4562-A9A8-7EC78D07FD66}"/>
    <cellStyle name="Normal 28" xfId="543" xr:uid="{B7B38885-BA78-4E7F-A2B6-18E000CE6DE9}"/>
    <cellStyle name="Normal 29" xfId="563" xr:uid="{7992567B-D90D-4511-8B29-725D865E27FB}"/>
    <cellStyle name="Normal 3" xfId="43" xr:uid="{32D72789-8330-4ECB-8805-C2828057EA5A}"/>
    <cellStyle name="Normal 30" xfId="583" xr:uid="{4D8AB846-B520-4D3F-A398-7DEDD6D40912}"/>
    <cellStyle name="Normal 31" xfId="603" xr:uid="{30DE160B-88FF-4CCF-92C8-257E04A98A88}"/>
    <cellStyle name="Normal 32" xfId="623" xr:uid="{322CCAAC-E0A1-4678-BFF4-072885DD4C5E}"/>
    <cellStyle name="Normal 33" xfId="643" xr:uid="{F4A13E35-DD8D-4DE8-AE28-D95E82244323}"/>
    <cellStyle name="Normal 34" xfId="663" xr:uid="{D05EAAFF-36BD-4699-96F2-63BCC69A0B80}"/>
    <cellStyle name="Normal 35" xfId="683" xr:uid="{B341C275-B8A0-467E-B7CC-F6E1F84FBCEA}"/>
    <cellStyle name="Normal 36" xfId="703" xr:uid="{F5CED388-24BC-415F-9975-EC4D27AAC3C6}"/>
    <cellStyle name="Normal 4" xfId="63" xr:uid="{AE1135DC-4A01-403F-A094-8519D3EDE519}"/>
    <cellStyle name="Normal 5" xfId="83" xr:uid="{42F6E690-C4FB-4361-A196-D987B2391897}"/>
    <cellStyle name="Normal 6" xfId="103" xr:uid="{8F92977A-81F9-4855-B748-080BDC3E926D}"/>
    <cellStyle name="Normal 7" xfId="123" xr:uid="{1593D2CE-83A4-4CA9-A321-80950C6413D5}"/>
    <cellStyle name="Normal 8" xfId="143" xr:uid="{1F249979-C05F-49BA-AEC9-01A4FD6AFA71}"/>
    <cellStyle name="Normal 9" xfId="163" xr:uid="{90321611-7120-42AD-99C9-27F96D91A392}"/>
    <cellStyle name="Note 10" xfId="184" xr:uid="{E15BA5C4-341F-4320-91C2-4A787443F1AA}"/>
    <cellStyle name="Note 11" xfId="204" xr:uid="{70B8C98E-756C-4CF6-BFBE-A3441025081C}"/>
    <cellStyle name="Note 12" xfId="224" xr:uid="{3BB5FBFE-38D0-456B-AD24-D1EB26415056}"/>
    <cellStyle name="Note 13" xfId="244" xr:uid="{5EE4164E-E03F-4A24-B67B-0DA0BC8B68C9}"/>
    <cellStyle name="Note 14" xfId="264" xr:uid="{A1FA6829-18F6-4885-95C1-6EAB777991F2}"/>
    <cellStyle name="Note 15" xfId="284" xr:uid="{874B566F-AA4D-47A5-B730-DC5A848A1638}"/>
    <cellStyle name="Note 16" xfId="304" xr:uid="{0B715952-6DDD-4E71-8D71-15A85006C387}"/>
    <cellStyle name="Note 17" xfId="324" xr:uid="{F4B8D2ED-D9B3-4ECF-A44E-48E5CF0CFD41}"/>
    <cellStyle name="Note 18" xfId="344" xr:uid="{E45A1DB9-C333-4AC4-8800-A6341AF15797}"/>
    <cellStyle name="Note 19" xfId="364" xr:uid="{54F87BCD-024C-44F6-A7DE-DAFC9E11ED6D}"/>
    <cellStyle name="Note 2" xfId="42" xr:uid="{D5092E91-8E4B-41A2-A86A-EB94FE34E665}"/>
    <cellStyle name="Note 20" xfId="384" xr:uid="{3F234B8A-1F4B-4E68-B882-F89D1EBE4D27}"/>
    <cellStyle name="Note 21" xfId="404" xr:uid="{B51B2451-1CFF-420A-B701-3FDBB0E606FC}"/>
    <cellStyle name="Note 22" xfId="424" xr:uid="{CC7C8E6C-8173-4695-90CB-8901BE322D41}"/>
    <cellStyle name="Note 23" xfId="444" xr:uid="{D44752AD-EA59-4413-A1DB-8F552EE3C85F}"/>
    <cellStyle name="Note 24" xfId="464" xr:uid="{0B45E703-C0F2-49BC-A5B2-FD80C516E2E6}"/>
    <cellStyle name="Note 25" xfId="484" xr:uid="{514B4270-8F1B-464B-816D-160F2441741E}"/>
    <cellStyle name="Note 26" xfId="504" xr:uid="{CF6E7292-3CAA-476B-9A9C-BF9D3E1FA7D4}"/>
    <cellStyle name="Note 27" xfId="524" xr:uid="{DBFCA356-C3F0-4A2E-AFD4-E36A1C21F988}"/>
    <cellStyle name="Note 28" xfId="544" xr:uid="{4AC593D0-53A8-4F56-AEE7-A172EB25AF7D}"/>
    <cellStyle name="Note 29" xfId="564" xr:uid="{85AEE0AF-72F1-48A6-9F26-3C85801169EA}"/>
    <cellStyle name="Note 3" xfId="44" xr:uid="{E3A157FA-FBD1-44DC-8CA2-EB4BE6029425}"/>
    <cellStyle name="Note 30" xfId="584" xr:uid="{2953EFAF-FC4E-45B0-9064-56079607EAEF}"/>
    <cellStyle name="Note 31" xfId="604" xr:uid="{9ED91CC4-1F44-464C-8CFD-0379B3A116CD}"/>
    <cellStyle name="Note 32" xfId="624" xr:uid="{3A945E99-B349-47BC-AB34-4BC03D6BB986}"/>
    <cellStyle name="Note 33" xfId="644" xr:uid="{AE7243FD-C09B-43D0-A404-2B19C65B31F6}"/>
    <cellStyle name="Note 34" xfId="664" xr:uid="{033F2BFD-60DF-441F-9A90-44D4FDD6D881}"/>
    <cellStyle name="Note 35" xfId="684" xr:uid="{7DA13ACE-4CC2-4E1B-B41A-9945FD541D95}"/>
    <cellStyle name="Note 36" xfId="704" xr:uid="{8722312F-678A-418D-A016-AD47B1D1CAB0}"/>
    <cellStyle name="Note 4" xfId="64" xr:uid="{6EAF30B4-238A-4394-89E7-95D99E5342D0}"/>
    <cellStyle name="Note 5" xfId="84" xr:uid="{3E313446-269B-4891-8866-D64E5ED67320}"/>
    <cellStyle name="Note 6" xfId="104" xr:uid="{C66491DA-F183-44E5-AD09-FFF6B81E839C}"/>
    <cellStyle name="Note 7" xfId="124" xr:uid="{E77907EF-C7ED-41DD-99B9-D9EC5504D129}"/>
    <cellStyle name="Note 8" xfId="144" xr:uid="{4391D472-322B-485C-B582-F4AE33F446BA}"/>
    <cellStyle name="Note 9" xfId="164" xr:uid="{0B1B24AD-1E2A-4366-9AA2-F95BCD39D8E2}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1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95250</xdr:rowOff>
    </xdr:from>
    <xdr:to>
      <xdr:col>7</xdr:col>
      <xdr:colOff>523875</xdr:colOff>
      <xdr:row>3</xdr:row>
      <xdr:rowOff>47625</xdr:rowOff>
    </xdr:to>
    <xdr:pic macro="[0]!ClearRecords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19625" y="9525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10</xdr:col>
      <xdr:colOff>457240</xdr:colOff>
      <xdr:row>3</xdr:row>
      <xdr:rowOff>76240</xdr:rowOff>
    </xdr:to>
    <xdr:pic macro="[0]!ClearMatTrans">
      <xdr:nvPicPr>
        <xdr:cNvPr id="10" name="Picture 9">
          <a:extLst>
            <a:ext uri="{FF2B5EF4-FFF2-40B4-BE49-F238E27FC236}">
              <a16:creationId xmlns:a16="http://schemas.microsoft.com/office/drawing/2014/main" id="{4FBB0116-3EBF-BE81-E7D8-4135CDBD2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90500"/>
          <a:ext cx="457240" cy="457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2219325</xdr:colOff>
      <xdr:row>2</xdr:row>
      <xdr:rowOff>85725</xdr:rowOff>
    </xdr:from>
    <xdr:to>
      <xdr:col>1</xdr:col>
      <xdr:colOff>2676525</xdr:colOff>
      <xdr:row>4</xdr:row>
      <xdr:rowOff>161925</xdr:rowOff>
    </xdr:to>
    <xdr:pic macro="[0]!ClearILS">
      <xdr:nvPicPr>
        <xdr:cNvPr id="6" name="Graphic 5" descr="Erase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24225" y="466725"/>
          <a:ext cx="457200" cy="457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685800</xdr:colOff>
      <xdr:row>3</xdr:row>
      <xdr:rowOff>47625</xdr:rowOff>
    </xdr:from>
    <xdr:to>
      <xdr:col>4</xdr:col>
      <xdr:colOff>1143000</xdr:colOff>
      <xdr:row>5</xdr:row>
      <xdr:rowOff>123825</xdr:rowOff>
    </xdr:to>
    <xdr:pic macro="[0]!ClearOHD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62865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Ripon\Production%20Report\Production%20Report%202024%20XL\Apr%2024%20Shun%20Shing%20Cement%20Industries%20Ltd.xlsm" TargetMode="External"/><Relationship Id="rId1" Type="http://schemas.openxmlformats.org/officeDocument/2006/relationships/externalLinkPath" Target="file:///F:\Ripon\Production%20Report\Production%20Report%202024%20XL\Apr%2024%20Shun%20Shing%20Cement%20Industries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10"/>
      <sheetName val="msg (7)"/>
      <sheetName val="Production Details by Shift (2)"/>
      <sheetName val="msg (6)"/>
      <sheetName val="msg (5)"/>
      <sheetName val="msg (4)"/>
      <sheetName val="msg (3)"/>
      <sheetName val="msg"/>
      <sheetName val="Production Details by Shift"/>
      <sheetName val="KPI DutyReg"/>
      <sheetName val="KPI Burs&amp;Power"/>
      <sheetName val="KPI Prod"/>
      <sheetName val="KPI Weight"/>
      <sheetName val="KPI Safety"/>
      <sheetName val="KPI ShortExc"/>
      <sheetName val="User"/>
      <sheetName val="Admin"/>
      <sheetName val="SCBL Production Report"/>
      <sheetName val="SCBL P Report Print"/>
      <sheetName val="SCBL Production Details"/>
      <sheetName val="SCBL Batch"/>
      <sheetName val="SCBL Trawler"/>
      <sheetName val="SCBL Trawler Rough"/>
      <sheetName val="Production Report"/>
      <sheetName val="P Report Print"/>
      <sheetName val="Production Details"/>
      <sheetName val="Monthly Summery"/>
      <sheetName val="Monthly"/>
      <sheetName val="Bursting"/>
      <sheetName val="Sheet4"/>
      <sheetName val="Gold Preparation"/>
      <sheetName val="Bag Stock"/>
      <sheetName val="Bulk"/>
      <sheetName val="Sheet3"/>
      <sheetName val="Sheet2"/>
      <sheetName val="Prod &amp; Burst"/>
      <sheetName val="Bursting &amp; Civil"/>
      <sheetName val="Sheet5"/>
      <sheetName val="Sheet6"/>
    </sheetNames>
    <sheetDataSet>
      <sheetData sheetId="0"/>
      <sheetData sheetId="1"/>
      <sheetData sheetId="2"/>
      <sheetData sheetId="3">
        <row r="5">
          <cell r="A5">
            <v>45383</v>
          </cell>
        </row>
        <row r="36">
          <cell r="MJ36">
            <v>132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6">
          <cell r="B6" t="str">
            <v>BM (2 PLY)</v>
          </cell>
          <cell r="C6" t="str">
            <v>AM (2 Ply)</v>
          </cell>
          <cell r="D6" t="str">
            <v>AM (1 PLY )</v>
          </cell>
          <cell r="E6" t="str">
            <v>AM (MES)</v>
          </cell>
          <cell r="F6" t="str">
            <v>Gold (2 PLY)</v>
          </cell>
          <cell r="G6" t="str">
            <v>Gold (1 PLY)</v>
          </cell>
          <cell r="H6" t="str">
            <v>Gold (1 Ply MES)</v>
          </cell>
          <cell r="I6" t="str">
            <v>AAA</v>
          </cell>
          <cell r="J6" t="str">
            <v>AAA</v>
          </cell>
          <cell r="K6" t="str">
            <v>AAA</v>
          </cell>
          <cell r="L6" t="str">
            <v>AAA</v>
          </cell>
          <cell r="M6" t="str">
            <v>AAA</v>
          </cell>
          <cell r="N6" t="str">
            <v>AAA</v>
          </cell>
          <cell r="O6" t="str">
            <v>AAA</v>
          </cell>
          <cell r="P6" t="str">
            <v>Total</v>
          </cell>
          <cell r="Q6" t="str">
            <v>BM (2 PLY)</v>
          </cell>
          <cell r="R6" t="str">
            <v>AM (2 Ply)</v>
          </cell>
          <cell r="S6" t="str">
            <v>AM (1 PLY )</v>
          </cell>
          <cell r="T6" t="str">
            <v>AM (MES)</v>
          </cell>
          <cell r="U6" t="str">
            <v>Gold (2 PLY)</v>
          </cell>
          <cell r="V6" t="str">
            <v>Gold (1 PLY)</v>
          </cell>
          <cell r="W6" t="str">
            <v>Gold (1 Ply MES)</v>
          </cell>
          <cell r="X6" t="str">
            <v>AAA</v>
          </cell>
          <cell r="Y6" t="str">
            <v>AAA</v>
          </cell>
          <cell r="Z6" t="str">
            <v>AAA</v>
          </cell>
          <cell r="AA6" t="str">
            <v>AAA</v>
          </cell>
          <cell r="AB6" t="str">
            <v>AAA</v>
          </cell>
          <cell r="AC6" t="str">
            <v>AAA</v>
          </cell>
          <cell r="AE6" t="str">
            <v>Total</v>
          </cell>
          <cell r="AF6" t="str">
            <v>BM (2 PLY)</v>
          </cell>
          <cell r="AG6" t="str">
            <v>AM (2 Ply)</v>
          </cell>
          <cell r="AH6" t="str">
            <v>AM (1 PLY )</v>
          </cell>
          <cell r="AI6" t="str">
            <v>AM (MES)</v>
          </cell>
          <cell r="AJ6" t="str">
            <v>Gold (2 PLY)</v>
          </cell>
          <cell r="AK6" t="str">
            <v>Gold (1 PLY)</v>
          </cell>
          <cell r="AL6" t="str">
            <v>Gold (1 Ply MES)</v>
          </cell>
          <cell r="AM6" t="str">
            <v>AAA</v>
          </cell>
          <cell r="AN6" t="str">
            <v>AAA</v>
          </cell>
          <cell r="AO6" t="str">
            <v>AAA</v>
          </cell>
          <cell r="AP6" t="str">
            <v>AAA</v>
          </cell>
          <cell r="AQ6" t="str">
            <v>AAA</v>
          </cell>
          <cell r="AR6" t="str">
            <v>AAA</v>
          </cell>
          <cell r="AT6" t="str">
            <v>Total</v>
          </cell>
          <cell r="AU6" t="str">
            <v>BM (2 PLY)</v>
          </cell>
          <cell r="AV6" t="str">
            <v>AM (2 Ply)</v>
          </cell>
          <cell r="AW6" t="str">
            <v>AM (1 PLY )</v>
          </cell>
          <cell r="AX6" t="str">
            <v>AM (MES)</v>
          </cell>
          <cell r="AY6" t="str">
            <v>Gold (2 PLY)</v>
          </cell>
          <cell r="AZ6" t="str">
            <v>Gold (1 PLY)</v>
          </cell>
          <cell r="BA6" t="str">
            <v>Gold (1 Ply MES)</v>
          </cell>
          <cell r="BB6" t="str">
            <v>AAA</v>
          </cell>
          <cell r="BC6" t="str">
            <v>AAA</v>
          </cell>
          <cell r="BD6" t="str">
            <v>AAA</v>
          </cell>
          <cell r="BE6" t="str">
            <v>AAA</v>
          </cell>
          <cell r="BF6" t="str">
            <v>AAA</v>
          </cell>
          <cell r="BG6" t="str">
            <v>AAA</v>
          </cell>
          <cell r="BH6" t="str">
            <v>AAA</v>
          </cell>
          <cell r="BI6" t="str">
            <v>Total</v>
          </cell>
          <cell r="BJ6" t="str">
            <v>BM (2 PLY)</v>
          </cell>
          <cell r="BK6" t="str">
            <v>AM (2 Ply)</v>
          </cell>
          <cell r="BL6" t="str">
            <v>AM (1 PLY )</v>
          </cell>
          <cell r="BM6" t="str">
            <v>AM (MES)</v>
          </cell>
          <cell r="BN6" t="str">
            <v>Gold (2 PLY)</v>
          </cell>
          <cell r="BO6" t="str">
            <v>Gold (1 PLY)</v>
          </cell>
          <cell r="BP6" t="str">
            <v>Gold (1 Ply MES)</v>
          </cell>
          <cell r="BQ6" t="str">
            <v>AAA</v>
          </cell>
          <cell r="BR6" t="str">
            <v>AAA</v>
          </cell>
          <cell r="BS6" t="str">
            <v>AAA</v>
          </cell>
          <cell r="BT6" t="str">
            <v>AAA</v>
          </cell>
          <cell r="BU6" t="str">
            <v>AAA</v>
          </cell>
          <cell r="BV6" t="str">
            <v>AAA</v>
          </cell>
          <cell r="BW6">
            <v>0</v>
          </cell>
          <cell r="BX6" t="str">
            <v>Total</v>
          </cell>
          <cell r="BY6" t="str">
            <v>BM</v>
          </cell>
          <cell r="BZ6" t="str">
            <v>AM</v>
          </cell>
          <cell r="CA6" t="str">
            <v>GOLD</v>
          </cell>
          <cell r="CB6" t="str">
            <v>Total</v>
          </cell>
        </row>
        <row r="7">
          <cell r="A7">
            <v>45383</v>
          </cell>
          <cell r="B7">
            <v>23477</v>
          </cell>
          <cell r="C7">
            <v>10253</v>
          </cell>
          <cell r="D7">
            <v>0</v>
          </cell>
          <cell r="E7">
            <v>1939</v>
          </cell>
          <cell r="F7">
            <v>6993</v>
          </cell>
          <cell r="G7">
            <v>0</v>
          </cell>
          <cell r="H7">
            <v>1892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44554</v>
          </cell>
          <cell r="Q7">
            <v>25000</v>
          </cell>
          <cell r="R7">
            <v>2000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27000</v>
          </cell>
          <cell r="AF7">
            <v>25515</v>
          </cell>
          <cell r="AG7">
            <v>5915</v>
          </cell>
          <cell r="AH7">
            <v>0</v>
          </cell>
          <cell r="AI7">
            <v>0</v>
          </cell>
          <cell r="AJ7">
            <v>1360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32790</v>
          </cell>
          <cell r="AU7">
            <v>41</v>
          </cell>
          <cell r="AV7">
            <v>4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46</v>
          </cell>
          <cell r="BJ7">
            <v>22921</v>
          </cell>
          <cell r="BK7">
            <v>6334</v>
          </cell>
          <cell r="BL7">
            <v>0</v>
          </cell>
          <cell r="BM7">
            <v>1939</v>
          </cell>
          <cell r="BN7">
            <v>5632</v>
          </cell>
          <cell r="BO7">
            <v>0</v>
          </cell>
          <cell r="BP7">
            <v>1892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38718</v>
          </cell>
          <cell r="BY7">
            <v>394.25</v>
          </cell>
          <cell r="BZ7">
            <v>0</v>
          </cell>
          <cell r="CA7">
            <v>24.38</v>
          </cell>
          <cell r="CB7">
            <v>418.63</v>
          </cell>
        </row>
        <row r="8">
          <cell r="A8">
            <v>45384</v>
          </cell>
          <cell r="B8">
            <v>22921</v>
          </cell>
          <cell r="C8">
            <v>6334</v>
          </cell>
          <cell r="D8">
            <v>0</v>
          </cell>
          <cell r="E8">
            <v>1939</v>
          </cell>
          <cell r="F8">
            <v>5632</v>
          </cell>
          <cell r="G8">
            <v>0</v>
          </cell>
          <cell r="H8">
            <v>1892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38718</v>
          </cell>
          <cell r="Q8">
            <v>38000</v>
          </cell>
          <cell r="R8">
            <v>6000</v>
          </cell>
          <cell r="S8">
            <v>0</v>
          </cell>
          <cell r="T8">
            <v>0</v>
          </cell>
          <cell r="U8">
            <v>1000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45000</v>
          </cell>
          <cell r="AF8">
            <v>22630</v>
          </cell>
          <cell r="AG8">
            <v>8640</v>
          </cell>
          <cell r="AH8">
            <v>0</v>
          </cell>
          <cell r="AI8">
            <v>0</v>
          </cell>
          <cell r="AJ8">
            <v>1210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32480</v>
          </cell>
          <cell r="AU8">
            <v>28</v>
          </cell>
          <cell r="AV8">
            <v>14</v>
          </cell>
          <cell r="AW8">
            <v>0</v>
          </cell>
          <cell r="AX8">
            <v>0</v>
          </cell>
          <cell r="AY8">
            <v>3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45</v>
          </cell>
          <cell r="BJ8">
            <v>38263</v>
          </cell>
          <cell r="BK8">
            <v>3680</v>
          </cell>
          <cell r="BL8">
            <v>0</v>
          </cell>
          <cell r="BM8">
            <v>1939</v>
          </cell>
          <cell r="BN8">
            <v>5419</v>
          </cell>
          <cell r="BO8">
            <v>0</v>
          </cell>
          <cell r="BP8">
            <v>1892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51193</v>
          </cell>
          <cell r="BY8">
            <v>581.58999999999992</v>
          </cell>
          <cell r="BZ8">
            <v>0</v>
          </cell>
          <cell r="CA8">
            <v>235.57999999999998</v>
          </cell>
          <cell r="CB8">
            <v>817.16999999999985</v>
          </cell>
        </row>
        <row r="9">
          <cell r="A9">
            <v>45385</v>
          </cell>
          <cell r="B9">
            <v>38263</v>
          </cell>
          <cell r="C9">
            <v>3680</v>
          </cell>
          <cell r="D9">
            <v>0</v>
          </cell>
          <cell r="E9">
            <v>1939</v>
          </cell>
          <cell r="F9">
            <v>5419</v>
          </cell>
          <cell r="G9">
            <v>0</v>
          </cell>
          <cell r="H9">
            <v>1892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51193</v>
          </cell>
          <cell r="Q9">
            <v>28000</v>
          </cell>
          <cell r="R9">
            <v>12000</v>
          </cell>
          <cell r="S9">
            <v>0</v>
          </cell>
          <cell r="T9">
            <v>0</v>
          </cell>
          <cell r="U9">
            <v>1000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41000</v>
          </cell>
          <cell r="AF9">
            <v>23770</v>
          </cell>
          <cell r="AG9">
            <v>8600</v>
          </cell>
          <cell r="AH9">
            <v>0</v>
          </cell>
          <cell r="AI9">
            <v>200</v>
          </cell>
          <cell r="AJ9">
            <v>1540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34110</v>
          </cell>
          <cell r="AU9">
            <v>33</v>
          </cell>
          <cell r="AV9">
            <v>6</v>
          </cell>
          <cell r="AW9">
            <v>0</v>
          </cell>
          <cell r="AX9">
            <v>1</v>
          </cell>
          <cell r="AY9">
            <v>4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44</v>
          </cell>
          <cell r="BJ9">
            <v>42460</v>
          </cell>
          <cell r="BK9">
            <v>7074</v>
          </cell>
          <cell r="BL9">
            <v>0</v>
          </cell>
          <cell r="BM9">
            <v>1738</v>
          </cell>
          <cell r="BN9">
            <v>4875</v>
          </cell>
          <cell r="BO9">
            <v>0</v>
          </cell>
          <cell r="BP9">
            <v>1892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58039</v>
          </cell>
          <cell r="BY9">
            <v>638.75</v>
          </cell>
          <cell r="BZ9">
            <v>0</v>
          </cell>
          <cell r="CA9">
            <v>142.19</v>
          </cell>
          <cell r="CB9">
            <v>780.94</v>
          </cell>
        </row>
        <row r="10">
          <cell r="A10">
            <v>45386</v>
          </cell>
          <cell r="B10">
            <v>42460</v>
          </cell>
          <cell r="C10">
            <v>7074</v>
          </cell>
          <cell r="D10">
            <v>0</v>
          </cell>
          <cell r="E10">
            <v>1738</v>
          </cell>
          <cell r="F10">
            <v>4875</v>
          </cell>
          <cell r="G10">
            <v>0</v>
          </cell>
          <cell r="H10">
            <v>1892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58039</v>
          </cell>
          <cell r="Q10">
            <v>32000</v>
          </cell>
          <cell r="R10">
            <v>9000</v>
          </cell>
          <cell r="S10">
            <v>0</v>
          </cell>
          <cell r="T10">
            <v>0</v>
          </cell>
          <cell r="U10">
            <v>2000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43000</v>
          </cell>
          <cell r="AF10">
            <v>27570</v>
          </cell>
          <cell r="AG10">
            <v>9120</v>
          </cell>
          <cell r="AH10">
            <v>0</v>
          </cell>
          <cell r="AI10">
            <v>0</v>
          </cell>
          <cell r="AJ10">
            <v>1640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38330</v>
          </cell>
          <cell r="AU10">
            <v>22</v>
          </cell>
          <cell r="AV10">
            <v>17</v>
          </cell>
          <cell r="AW10">
            <v>0</v>
          </cell>
          <cell r="AX10">
            <v>0</v>
          </cell>
          <cell r="AY10">
            <v>4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43</v>
          </cell>
          <cell r="BJ10">
            <v>46868</v>
          </cell>
          <cell r="BK10">
            <v>6937</v>
          </cell>
          <cell r="BL10">
            <v>0</v>
          </cell>
          <cell r="BM10">
            <v>1738</v>
          </cell>
          <cell r="BN10">
            <v>5231</v>
          </cell>
          <cell r="BO10">
            <v>0</v>
          </cell>
          <cell r="BP10">
            <v>1892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62666</v>
          </cell>
          <cell r="BY10">
            <v>466.94</v>
          </cell>
          <cell r="BZ10">
            <v>0</v>
          </cell>
          <cell r="CA10">
            <v>24.27</v>
          </cell>
          <cell r="CB10">
            <v>491.21</v>
          </cell>
        </row>
        <row r="11">
          <cell r="A11">
            <v>45387</v>
          </cell>
          <cell r="B11">
            <v>46868</v>
          </cell>
          <cell r="C11">
            <v>6937</v>
          </cell>
          <cell r="D11">
            <v>0</v>
          </cell>
          <cell r="E11">
            <v>1738</v>
          </cell>
          <cell r="F11">
            <v>5231</v>
          </cell>
          <cell r="G11">
            <v>0</v>
          </cell>
          <cell r="H11">
            <v>1892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62666</v>
          </cell>
          <cell r="Q11">
            <v>25000</v>
          </cell>
          <cell r="R11">
            <v>10000</v>
          </cell>
          <cell r="S11">
            <v>0</v>
          </cell>
          <cell r="T11">
            <v>0</v>
          </cell>
          <cell r="U11">
            <v>1000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36000</v>
          </cell>
          <cell r="AF11">
            <v>26550</v>
          </cell>
          <cell r="AG11">
            <v>5360</v>
          </cell>
          <cell r="AH11">
            <v>0</v>
          </cell>
          <cell r="AI11">
            <v>0</v>
          </cell>
          <cell r="AJ11">
            <v>1450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33360</v>
          </cell>
          <cell r="AU11">
            <v>30</v>
          </cell>
          <cell r="AV11">
            <v>5</v>
          </cell>
          <cell r="AW11">
            <v>0</v>
          </cell>
          <cell r="AX11">
            <v>0</v>
          </cell>
          <cell r="AY11">
            <v>1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36</v>
          </cell>
          <cell r="BJ11">
            <v>45288</v>
          </cell>
          <cell r="BK11">
            <v>11572</v>
          </cell>
          <cell r="BL11">
            <v>0</v>
          </cell>
          <cell r="BM11">
            <v>1738</v>
          </cell>
          <cell r="BN11">
            <v>4780</v>
          </cell>
          <cell r="BO11">
            <v>0</v>
          </cell>
          <cell r="BP11">
            <v>1892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65270</v>
          </cell>
          <cell r="BY11">
            <v>352.41999999999996</v>
          </cell>
          <cell r="BZ11">
            <v>0</v>
          </cell>
          <cell r="CA11">
            <v>0</v>
          </cell>
          <cell r="CB11">
            <v>352.41999999999996</v>
          </cell>
        </row>
        <row r="12">
          <cell r="A12">
            <v>45388</v>
          </cell>
          <cell r="B12">
            <v>45288</v>
          </cell>
          <cell r="C12">
            <v>11572</v>
          </cell>
          <cell r="D12">
            <v>0</v>
          </cell>
          <cell r="E12">
            <v>1738</v>
          </cell>
          <cell r="F12">
            <v>4780</v>
          </cell>
          <cell r="G12">
            <v>0</v>
          </cell>
          <cell r="H12">
            <v>1892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65270</v>
          </cell>
          <cell r="Q12">
            <v>40000</v>
          </cell>
          <cell r="R12">
            <v>2000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42000</v>
          </cell>
          <cell r="AF12">
            <v>19713</v>
          </cell>
          <cell r="AG12">
            <v>4465</v>
          </cell>
          <cell r="AH12">
            <v>0</v>
          </cell>
          <cell r="AI12">
            <v>0</v>
          </cell>
          <cell r="AJ12">
            <v>600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24778</v>
          </cell>
          <cell r="AU12">
            <v>23</v>
          </cell>
          <cell r="AV12">
            <v>2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25</v>
          </cell>
          <cell r="BJ12">
            <v>65552</v>
          </cell>
          <cell r="BK12">
            <v>9105</v>
          </cell>
          <cell r="BL12">
            <v>0</v>
          </cell>
          <cell r="BM12">
            <v>1738</v>
          </cell>
          <cell r="BN12">
            <v>4180</v>
          </cell>
          <cell r="BO12">
            <v>0</v>
          </cell>
          <cell r="BP12">
            <v>1892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82467</v>
          </cell>
          <cell r="BY12">
            <v>530.46</v>
          </cell>
          <cell r="BZ12">
            <v>0</v>
          </cell>
          <cell r="CA12">
            <v>0</v>
          </cell>
          <cell r="CB12">
            <v>530.46</v>
          </cell>
        </row>
        <row r="13">
          <cell r="A13">
            <v>45389</v>
          </cell>
          <cell r="B13">
            <v>65552</v>
          </cell>
          <cell r="C13">
            <v>9105</v>
          </cell>
          <cell r="D13">
            <v>0</v>
          </cell>
          <cell r="E13">
            <v>1738</v>
          </cell>
          <cell r="F13">
            <v>4180</v>
          </cell>
          <cell r="G13">
            <v>0</v>
          </cell>
          <cell r="H13">
            <v>1892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82467</v>
          </cell>
          <cell r="Q13">
            <v>10000</v>
          </cell>
          <cell r="R13">
            <v>5000</v>
          </cell>
          <cell r="S13">
            <v>0</v>
          </cell>
          <cell r="T13">
            <v>0</v>
          </cell>
          <cell r="U13">
            <v>2000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17000</v>
          </cell>
          <cell r="AF13">
            <v>13850</v>
          </cell>
          <cell r="AG13">
            <v>1400</v>
          </cell>
          <cell r="AH13">
            <v>0</v>
          </cell>
          <cell r="AI13">
            <v>0</v>
          </cell>
          <cell r="AJ13">
            <v>100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15350</v>
          </cell>
          <cell r="AU13">
            <v>11</v>
          </cell>
          <cell r="AV13">
            <v>2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13</v>
          </cell>
          <cell r="BJ13">
            <v>61691</v>
          </cell>
          <cell r="BK13">
            <v>12703</v>
          </cell>
          <cell r="BL13">
            <v>0</v>
          </cell>
          <cell r="BM13">
            <v>1738</v>
          </cell>
          <cell r="BN13">
            <v>6080</v>
          </cell>
          <cell r="BO13">
            <v>0</v>
          </cell>
          <cell r="BP13">
            <v>1892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84104</v>
          </cell>
          <cell r="BY13">
            <v>372.63</v>
          </cell>
          <cell r="BZ13">
            <v>0</v>
          </cell>
          <cell r="CA13">
            <v>93.86</v>
          </cell>
          <cell r="CB13">
            <v>466.49</v>
          </cell>
        </row>
        <row r="14">
          <cell r="A14">
            <v>45390</v>
          </cell>
          <cell r="B14">
            <v>61691</v>
          </cell>
          <cell r="C14">
            <v>12703</v>
          </cell>
          <cell r="D14">
            <v>0</v>
          </cell>
          <cell r="E14">
            <v>1738</v>
          </cell>
          <cell r="F14">
            <v>6080</v>
          </cell>
          <cell r="G14">
            <v>0</v>
          </cell>
          <cell r="H14">
            <v>1892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84104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23700</v>
          </cell>
          <cell r="AG14">
            <v>2510</v>
          </cell>
          <cell r="AH14">
            <v>0</v>
          </cell>
          <cell r="AI14">
            <v>0</v>
          </cell>
          <cell r="AJ14">
            <v>760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26970</v>
          </cell>
          <cell r="AU14">
            <v>19</v>
          </cell>
          <cell r="AV14">
            <v>3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22</v>
          </cell>
          <cell r="BJ14">
            <v>37972</v>
          </cell>
          <cell r="BK14">
            <v>10190</v>
          </cell>
          <cell r="BL14">
            <v>0</v>
          </cell>
          <cell r="BM14">
            <v>1738</v>
          </cell>
          <cell r="BN14">
            <v>5320</v>
          </cell>
          <cell r="BO14">
            <v>0</v>
          </cell>
          <cell r="BP14">
            <v>1892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57112</v>
          </cell>
          <cell r="BY14">
            <v>182.3</v>
          </cell>
          <cell r="BZ14">
            <v>0</v>
          </cell>
          <cell r="CA14">
            <v>93.23</v>
          </cell>
          <cell r="CB14">
            <v>275.53000000000003</v>
          </cell>
        </row>
        <row r="15">
          <cell r="A15">
            <v>45391</v>
          </cell>
          <cell r="B15">
            <v>37972</v>
          </cell>
          <cell r="C15">
            <v>10190</v>
          </cell>
          <cell r="D15">
            <v>0</v>
          </cell>
          <cell r="E15">
            <v>1738</v>
          </cell>
          <cell r="F15">
            <v>5320</v>
          </cell>
          <cell r="G15">
            <v>0</v>
          </cell>
          <cell r="H15">
            <v>1892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57112</v>
          </cell>
          <cell r="Q15">
            <v>10000</v>
          </cell>
          <cell r="R15">
            <v>2000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12000</v>
          </cell>
          <cell r="AF15">
            <v>16745</v>
          </cell>
          <cell r="AG15">
            <v>855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17600</v>
          </cell>
          <cell r="AU15">
            <v>18</v>
          </cell>
          <cell r="AV15">
            <v>2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20</v>
          </cell>
          <cell r="BJ15">
            <v>31209</v>
          </cell>
          <cell r="BK15">
            <v>11333</v>
          </cell>
          <cell r="BL15">
            <v>0</v>
          </cell>
          <cell r="BM15">
            <v>1738</v>
          </cell>
          <cell r="BN15">
            <v>5320</v>
          </cell>
          <cell r="BO15">
            <v>0</v>
          </cell>
          <cell r="BP15">
            <v>1892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51492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</row>
        <row r="16">
          <cell r="A16">
            <v>45392</v>
          </cell>
          <cell r="B16">
            <v>31209</v>
          </cell>
          <cell r="C16">
            <v>11333</v>
          </cell>
          <cell r="D16">
            <v>0</v>
          </cell>
          <cell r="E16">
            <v>1738</v>
          </cell>
          <cell r="F16">
            <v>5320</v>
          </cell>
          <cell r="G16">
            <v>0</v>
          </cell>
          <cell r="H16">
            <v>1892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51492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31209</v>
          </cell>
          <cell r="BK16">
            <v>11333</v>
          </cell>
          <cell r="BL16">
            <v>0</v>
          </cell>
          <cell r="BM16">
            <v>1738</v>
          </cell>
          <cell r="BN16">
            <v>5320</v>
          </cell>
          <cell r="BO16">
            <v>0</v>
          </cell>
          <cell r="BP16">
            <v>1892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51492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</row>
        <row r="17">
          <cell r="A17">
            <v>45393</v>
          </cell>
          <cell r="B17">
            <v>31209</v>
          </cell>
          <cell r="C17">
            <v>11333</v>
          </cell>
          <cell r="D17">
            <v>0</v>
          </cell>
          <cell r="E17">
            <v>1738</v>
          </cell>
          <cell r="F17">
            <v>5320</v>
          </cell>
          <cell r="G17">
            <v>0</v>
          </cell>
          <cell r="H17">
            <v>1892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51492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31209</v>
          </cell>
          <cell r="BK17">
            <v>11333</v>
          </cell>
          <cell r="BL17">
            <v>0</v>
          </cell>
          <cell r="BM17">
            <v>1738</v>
          </cell>
          <cell r="BN17">
            <v>5320</v>
          </cell>
          <cell r="BO17">
            <v>0</v>
          </cell>
          <cell r="BP17">
            <v>1892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51492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</row>
        <row r="18">
          <cell r="A18">
            <v>45394</v>
          </cell>
          <cell r="B18">
            <v>31209</v>
          </cell>
          <cell r="C18">
            <v>11333</v>
          </cell>
          <cell r="D18">
            <v>0</v>
          </cell>
          <cell r="E18">
            <v>1738</v>
          </cell>
          <cell r="F18">
            <v>5320</v>
          </cell>
          <cell r="G18">
            <v>0</v>
          </cell>
          <cell r="H18">
            <v>1892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51492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31209</v>
          </cell>
          <cell r="BK18">
            <v>11333</v>
          </cell>
          <cell r="BL18">
            <v>0</v>
          </cell>
          <cell r="BM18">
            <v>1738</v>
          </cell>
          <cell r="BN18">
            <v>5320</v>
          </cell>
          <cell r="BO18">
            <v>0</v>
          </cell>
          <cell r="BP18">
            <v>1892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51492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</row>
        <row r="19">
          <cell r="A19">
            <v>45395</v>
          </cell>
          <cell r="B19">
            <v>31209</v>
          </cell>
          <cell r="C19">
            <v>11333</v>
          </cell>
          <cell r="D19">
            <v>0</v>
          </cell>
          <cell r="E19">
            <v>1738</v>
          </cell>
          <cell r="F19">
            <v>5320</v>
          </cell>
          <cell r="G19">
            <v>0</v>
          </cell>
          <cell r="H19">
            <v>1892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51492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31209</v>
          </cell>
          <cell r="BK19">
            <v>11333</v>
          </cell>
          <cell r="BL19">
            <v>0</v>
          </cell>
          <cell r="BM19">
            <v>1738</v>
          </cell>
          <cell r="BN19">
            <v>5320</v>
          </cell>
          <cell r="BO19">
            <v>0</v>
          </cell>
          <cell r="BP19">
            <v>1892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51492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</row>
        <row r="20">
          <cell r="A20">
            <v>45396</v>
          </cell>
          <cell r="B20">
            <v>31209</v>
          </cell>
          <cell r="C20">
            <v>11333</v>
          </cell>
          <cell r="D20">
            <v>0</v>
          </cell>
          <cell r="E20">
            <v>1738</v>
          </cell>
          <cell r="F20">
            <v>5320</v>
          </cell>
          <cell r="G20">
            <v>0</v>
          </cell>
          <cell r="H20">
            <v>1892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51492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6090</v>
          </cell>
          <cell r="AG20">
            <v>410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6500</v>
          </cell>
          <cell r="AU20">
            <v>3</v>
          </cell>
          <cell r="AV20">
            <v>3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6</v>
          </cell>
          <cell r="BJ20">
            <v>25116</v>
          </cell>
          <cell r="BK20">
            <v>10920</v>
          </cell>
          <cell r="BL20">
            <v>0</v>
          </cell>
          <cell r="BM20">
            <v>1738</v>
          </cell>
          <cell r="BN20">
            <v>5320</v>
          </cell>
          <cell r="BO20">
            <v>0</v>
          </cell>
          <cell r="BP20">
            <v>1892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44986</v>
          </cell>
          <cell r="BY20">
            <v>223.87</v>
          </cell>
          <cell r="BZ20">
            <v>0</v>
          </cell>
          <cell r="CA20">
            <v>0</v>
          </cell>
          <cell r="CB20">
            <v>223.87</v>
          </cell>
        </row>
        <row r="21">
          <cell r="A21">
            <v>45397</v>
          </cell>
          <cell r="B21">
            <v>25116</v>
          </cell>
          <cell r="C21">
            <v>10920</v>
          </cell>
          <cell r="D21">
            <v>0</v>
          </cell>
          <cell r="E21">
            <v>1738</v>
          </cell>
          <cell r="F21">
            <v>5320</v>
          </cell>
          <cell r="G21">
            <v>0</v>
          </cell>
          <cell r="H21">
            <v>1892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44986</v>
          </cell>
          <cell r="Q21">
            <v>20000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20000</v>
          </cell>
          <cell r="AF21">
            <v>12505</v>
          </cell>
          <cell r="AG21">
            <v>3260</v>
          </cell>
          <cell r="AH21">
            <v>0</v>
          </cell>
          <cell r="AI21">
            <v>0</v>
          </cell>
          <cell r="AJ21">
            <v>100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15865</v>
          </cell>
          <cell r="AU21">
            <v>22</v>
          </cell>
          <cell r="AV21">
            <v>5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27</v>
          </cell>
          <cell r="BJ21">
            <v>32589</v>
          </cell>
          <cell r="BK21">
            <v>7655</v>
          </cell>
          <cell r="BL21">
            <v>0</v>
          </cell>
          <cell r="BM21">
            <v>1738</v>
          </cell>
          <cell r="BN21">
            <v>5220</v>
          </cell>
          <cell r="BO21">
            <v>0</v>
          </cell>
          <cell r="BP21">
            <v>1892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49094</v>
          </cell>
          <cell r="BY21">
            <v>0</v>
          </cell>
          <cell r="BZ21">
            <v>0</v>
          </cell>
          <cell r="CA21">
            <v>24.5</v>
          </cell>
          <cell r="CB21">
            <v>24.5</v>
          </cell>
        </row>
        <row r="22">
          <cell r="A22">
            <v>45398</v>
          </cell>
          <cell r="B22">
            <v>32589</v>
          </cell>
          <cell r="C22">
            <v>7655</v>
          </cell>
          <cell r="D22">
            <v>0</v>
          </cell>
          <cell r="E22">
            <v>1738</v>
          </cell>
          <cell r="F22">
            <v>5220</v>
          </cell>
          <cell r="G22">
            <v>0</v>
          </cell>
          <cell r="H22">
            <v>1892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49094</v>
          </cell>
          <cell r="Q22">
            <v>20000</v>
          </cell>
          <cell r="R22">
            <v>5000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25000</v>
          </cell>
          <cell r="AF22">
            <v>14925</v>
          </cell>
          <cell r="AG22">
            <v>3275</v>
          </cell>
          <cell r="AH22">
            <v>0</v>
          </cell>
          <cell r="AI22">
            <v>0</v>
          </cell>
          <cell r="AJ22">
            <v>300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18500</v>
          </cell>
          <cell r="AU22">
            <v>24</v>
          </cell>
          <cell r="AV22">
            <v>3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27</v>
          </cell>
          <cell r="BJ22">
            <v>37640</v>
          </cell>
          <cell r="BK22">
            <v>9377</v>
          </cell>
          <cell r="BL22">
            <v>0</v>
          </cell>
          <cell r="BM22">
            <v>1738</v>
          </cell>
          <cell r="BN22">
            <v>4920</v>
          </cell>
          <cell r="BO22">
            <v>0</v>
          </cell>
          <cell r="BP22">
            <v>1892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55567</v>
          </cell>
          <cell r="BY22">
            <v>89.69</v>
          </cell>
          <cell r="BZ22">
            <v>0</v>
          </cell>
          <cell r="CA22">
            <v>24.24</v>
          </cell>
          <cell r="CB22">
            <v>113.92999999999999</v>
          </cell>
        </row>
        <row r="23">
          <cell r="A23">
            <v>45399</v>
          </cell>
          <cell r="B23">
            <v>37640</v>
          </cell>
          <cell r="C23">
            <v>9377</v>
          </cell>
          <cell r="D23">
            <v>0</v>
          </cell>
          <cell r="E23">
            <v>1738</v>
          </cell>
          <cell r="F23">
            <v>4920</v>
          </cell>
          <cell r="G23">
            <v>0</v>
          </cell>
          <cell r="H23">
            <v>1892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55567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37640</v>
          </cell>
          <cell r="BK23">
            <v>9377</v>
          </cell>
          <cell r="BL23">
            <v>0</v>
          </cell>
          <cell r="BM23">
            <v>1738</v>
          </cell>
          <cell r="BN23">
            <v>4920</v>
          </cell>
          <cell r="BO23">
            <v>0</v>
          </cell>
          <cell r="BP23">
            <v>1892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55567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</row>
        <row r="24">
          <cell r="A24">
            <v>45400</v>
          </cell>
          <cell r="B24">
            <v>37640</v>
          </cell>
          <cell r="C24">
            <v>9377</v>
          </cell>
          <cell r="D24">
            <v>0</v>
          </cell>
          <cell r="E24">
            <v>1738</v>
          </cell>
          <cell r="F24">
            <v>4920</v>
          </cell>
          <cell r="G24">
            <v>0</v>
          </cell>
          <cell r="H24">
            <v>1892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55567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37640</v>
          </cell>
          <cell r="BK24">
            <v>9377</v>
          </cell>
          <cell r="BL24">
            <v>0</v>
          </cell>
          <cell r="BM24">
            <v>1738</v>
          </cell>
          <cell r="BN24">
            <v>4920</v>
          </cell>
          <cell r="BO24">
            <v>0</v>
          </cell>
          <cell r="BP24">
            <v>1892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55567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</row>
        <row r="25">
          <cell r="A25">
            <v>45401</v>
          </cell>
          <cell r="B25">
            <v>37640</v>
          </cell>
          <cell r="C25">
            <v>9377</v>
          </cell>
          <cell r="D25">
            <v>0</v>
          </cell>
          <cell r="E25">
            <v>1738</v>
          </cell>
          <cell r="F25">
            <v>4920</v>
          </cell>
          <cell r="G25">
            <v>0</v>
          </cell>
          <cell r="H25">
            <v>1892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55567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37640</v>
          </cell>
          <cell r="BK25">
            <v>9377</v>
          </cell>
          <cell r="BL25">
            <v>0</v>
          </cell>
          <cell r="BM25">
            <v>1738</v>
          </cell>
          <cell r="BN25">
            <v>4920</v>
          </cell>
          <cell r="BO25">
            <v>0</v>
          </cell>
          <cell r="BP25">
            <v>1892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55567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</row>
        <row r="26">
          <cell r="A26">
            <v>45402</v>
          </cell>
          <cell r="B26">
            <v>37640</v>
          </cell>
          <cell r="C26">
            <v>9377</v>
          </cell>
          <cell r="D26">
            <v>0</v>
          </cell>
          <cell r="E26">
            <v>1738</v>
          </cell>
          <cell r="F26">
            <v>4920</v>
          </cell>
          <cell r="G26">
            <v>0</v>
          </cell>
          <cell r="H26">
            <v>1892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55567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37640</v>
          </cell>
          <cell r="BK26">
            <v>9377</v>
          </cell>
          <cell r="BL26">
            <v>0</v>
          </cell>
          <cell r="BM26">
            <v>1738</v>
          </cell>
          <cell r="BN26">
            <v>4920</v>
          </cell>
          <cell r="BO26">
            <v>0</v>
          </cell>
          <cell r="BP26">
            <v>1892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55567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</row>
        <row r="27">
          <cell r="A27">
            <v>45403</v>
          </cell>
          <cell r="B27">
            <v>37640</v>
          </cell>
          <cell r="C27">
            <v>9377</v>
          </cell>
          <cell r="D27">
            <v>0</v>
          </cell>
          <cell r="E27">
            <v>1738</v>
          </cell>
          <cell r="F27">
            <v>4920</v>
          </cell>
          <cell r="G27">
            <v>0</v>
          </cell>
          <cell r="H27">
            <v>1892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55567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37640</v>
          </cell>
          <cell r="BK27">
            <v>9377</v>
          </cell>
          <cell r="BL27">
            <v>0</v>
          </cell>
          <cell r="BM27">
            <v>1738</v>
          </cell>
          <cell r="BN27">
            <v>4920</v>
          </cell>
          <cell r="BO27">
            <v>0</v>
          </cell>
          <cell r="BP27">
            <v>1892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55567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</row>
        <row r="28">
          <cell r="A28">
            <v>45404</v>
          </cell>
          <cell r="B28">
            <v>37640</v>
          </cell>
          <cell r="C28">
            <v>9377</v>
          </cell>
          <cell r="D28">
            <v>0</v>
          </cell>
          <cell r="E28">
            <v>1738</v>
          </cell>
          <cell r="F28">
            <v>4920</v>
          </cell>
          <cell r="G28">
            <v>0</v>
          </cell>
          <cell r="H28">
            <v>1892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55567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37640</v>
          </cell>
          <cell r="BK28">
            <v>9377</v>
          </cell>
          <cell r="BL28">
            <v>0</v>
          </cell>
          <cell r="BM28">
            <v>1738</v>
          </cell>
          <cell r="BN28">
            <v>4920</v>
          </cell>
          <cell r="BO28">
            <v>0</v>
          </cell>
          <cell r="BP28">
            <v>1892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55567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</row>
        <row r="29">
          <cell r="A29">
            <v>45405</v>
          </cell>
          <cell r="B29">
            <v>37640</v>
          </cell>
          <cell r="C29">
            <v>9377</v>
          </cell>
          <cell r="D29">
            <v>0</v>
          </cell>
          <cell r="E29">
            <v>1738</v>
          </cell>
          <cell r="F29">
            <v>4920</v>
          </cell>
          <cell r="G29">
            <v>0</v>
          </cell>
          <cell r="H29">
            <v>1892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55567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37640</v>
          </cell>
          <cell r="BK29">
            <v>9377</v>
          </cell>
          <cell r="BL29">
            <v>0</v>
          </cell>
          <cell r="BM29">
            <v>1738</v>
          </cell>
          <cell r="BN29">
            <v>4920</v>
          </cell>
          <cell r="BO29">
            <v>0</v>
          </cell>
          <cell r="BP29">
            <v>1892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55567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</row>
        <row r="30">
          <cell r="A30">
            <v>45406</v>
          </cell>
          <cell r="B30">
            <v>37640</v>
          </cell>
          <cell r="C30">
            <v>9377</v>
          </cell>
          <cell r="D30">
            <v>0</v>
          </cell>
          <cell r="E30">
            <v>1738</v>
          </cell>
          <cell r="F30">
            <v>4920</v>
          </cell>
          <cell r="G30">
            <v>0</v>
          </cell>
          <cell r="H30">
            <v>1892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55567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37640</v>
          </cell>
          <cell r="BK30">
            <v>9377</v>
          </cell>
          <cell r="BL30">
            <v>0</v>
          </cell>
          <cell r="BM30">
            <v>1738</v>
          </cell>
          <cell r="BN30">
            <v>4920</v>
          </cell>
          <cell r="BO30">
            <v>0</v>
          </cell>
          <cell r="BP30">
            <v>1892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55567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</row>
        <row r="31">
          <cell r="A31">
            <v>45407</v>
          </cell>
          <cell r="B31">
            <v>37640</v>
          </cell>
          <cell r="C31">
            <v>9377</v>
          </cell>
          <cell r="D31">
            <v>0</v>
          </cell>
          <cell r="E31">
            <v>1738</v>
          </cell>
          <cell r="F31">
            <v>4920</v>
          </cell>
          <cell r="G31">
            <v>0</v>
          </cell>
          <cell r="H31">
            <v>1892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55567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37640</v>
          </cell>
          <cell r="BK31">
            <v>9377</v>
          </cell>
          <cell r="BL31">
            <v>0</v>
          </cell>
          <cell r="BM31">
            <v>1738</v>
          </cell>
          <cell r="BN31">
            <v>4920</v>
          </cell>
          <cell r="BO31">
            <v>0</v>
          </cell>
          <cell r="BP31">
            <v>1892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55567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</row>
        <row r="32">
          <cell r="A32">
            <v>45408</v>
          </cell>
          <cell r="B32">
            <v>37640</v>
          </cell>
          <cell r="C32">
            <v>9377</v>
          </cell>
          <cell r="D32">
            <v>0</v>
          </cell>
          <cell r="E32">
            <v>1738</v>
          </cell>
          <cell r="F32">
            <v>4920</v>
          </cell>
          <cell r="G32">
            <v>0</v>
          </cell>
          <cell r="H32">
            <v>1892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55567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37640</v>
          </cell>
          <cell r="BK32">
            <v>9377</v>
          </cell>
          <cell r="BL32">
            <v>0</v>
          </cell>
          <cell r="BM32">
            <v>1738</v>
          </cell>
          <cell r="BN32">
            <v>4920</v>
          </cell>
          <cell r="BO32">
            <v>0</v>
          </cell>
          <cell r="BP32">
            <v>1892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55567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</row>
        <row r="33">
          <cell r="A33">
            <v>45409</v>
          </cell>
          <cell r="B33">
            <v>37640</v>
          </cell>
          <cell r="C33">
            <v>9377</v>
          </cell>
          <cell r="D33">
            <v>0</v>
          </cell>
          <cell r="E33">
            <v>1738</v>
          </cell>
          <cell r="F33">
            <v>4920</v>
          </cell>
          <cell r="G33">
            <v>0</v>
          </cell>
          <cell r="H33">
            <v>1892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55567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37640</v>
          </cell>
          <cell r="BK33">
            <v>9377</v>
          </cell>
          <cell r="BL33">
            <v>0</v>
          </cell>
          <cell r="BM33">
            <v>1738</v>
          </cell>
          <cell r="BN33">
            <v>4920</v>
          </cell>
          <cell r="BO33">
            <v>0</v>
          </cell>
          <cell r="BP33">
            <v>1892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55567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</row>
        <row r="34">
          <cell r="A34">
            <v>45410</v>
          </cell>
          <cell r="B34">
            <v>37640</v>
          </cell>
          <cell r="C34">
            <v>9377</v>
          </cell>
          <cell r="D34">
            <v>0</v>
          </cell>
          <cell r="E34">
            <v>1738</v>
          </cell>
          <cell r="F34">
            <v>4920</v>
          </cell>
          <cell r="G34">
            <v>0</v>
          </cell>
          <cell r="H34">
            <v>1892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55567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37640</v>
          </cell>
          <cell r="BK34">
            <v>9377</v>
          </cell>
          <cell r="BL34">
            <v>0</v>
          </cell>
          <cell r="BM34">
            <v>1738</v>
          </cell>
          <cell r="BN34">
            <v>4920</v>
          </cell>
          <cell r="BO34">
            <v>0</v>
          </cell>
          <cell r="BP34">
            <v>1892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55567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</row>
        <row r="35">
          <cell r="A35">
            <v>45411</v>
          </cell>
          <cell r="B35">
            <v>37640</v>
          </cell>
          <cell r="C35">
            <v>9377</v>
          </cell>
          <cell r="D35">
            <v>0</v>
          </cell>
          <cell r="E35">
            <v>1738</v>
          </cell>
          <cell r="F35">
            <v>4920</v>
          </cell>
          <cell r="G35">
            <v>0</v>
          </cell>
          <cell r="H35">
            <v>1892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55567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37640</v>
          </cell>
          <cell r="BK35">
            <v>9377</v>
          </cell>
          <cell r="BL35">
            <v>0</v>
          </cell>
          <cell r="BM35">
            <v>1738</v>
          </cell>
          <cell r="BN35">
            <v>4920</v>
          </cell>
          <cell r="BO35">
            <v>0</v>
          </cell>
          <cell r="BP35">
            <v>1892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55567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</row>
        <row r="36">
          <cell r="A36">
            <v>45412</v>
          </cell>
          <cell r="B36">
            <v>37640</v>
          </cell>
          <cell r="C36">
            <v>9377</v>
          </cell>
          <cell r="D36">
            <v>0</v>
          </cell>
          <cell r="E36">
            <v>1738</v>
          </cell>
          <cell r="F36">
            <v>4920</v>
          </cell>
          <cell r="G36">
            <v>0</v>
          </cell>
          <cell r="H36">
            <v>1892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55567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37640</v>
          </cell>
          <cell r="BK36">
            <v>9377</v>
          </cell>
          <cell r="BL36">
            <v>0</v>
          </cell>
          <cell r="BM36">
            <v>1738</v>
          </cell>
          <cell r="BN36">
            <v>4920</v>
          </cell>
          <cell r="BO36">
            <v>0</v>
          </cell>
          <cell r="BP36">
            <v>1892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55567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</row>
        <row r="37">
          <cell r="A37">
            <v>45413</v>
          </cell>
          <cell r="B37">
            <v>37640</v>
          </cell>
          <cell r="C37">
            <v>9377</v>
          </cell>
          <cell r="D37">
            <v>0</v>
          </cell>
          <cell r="E37">
            <v>1738</v>
          </cell>
          <cell r="F37">
            <v>4920</v>
          </cell>
          <cell r="G37">
            <v>0</v>
          </cell>
          <cell r="H37">
            <v>1892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55567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37640</v>
          </cell>
          <cell r="BK37">
            <v>9377</v>
          </cell>
          <cell r="BL37">
            <v>0</v>
          </cell>
          <cell r="BM37">
            <v>1738</v>
          </cell>
          <cell r="BN37">
            <v>4920</v>
          </cell>
          <cell r="BO37">
            <v>0</v>
          </cell>
          <cell r="BP37">
            <v>1892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55567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</row>
        <row r="38">
          <cell r="B38">
            <v>23477</v>
          </cell>
          <cell r="C38">
            <v>10253</v>
          </cell>
          <cell r="D38">
            <v>0</v>
          </cell>
          <cell r="E38">
            <v>1939</v>
          </cell>
          <cell r="F38">
            <v>6993</v>
          </cell>
          <cell r="G38">
            <v>0</v>
          </cell>
          <cell r="P38">
            <v>44554</v>
          </cell>
          <cell r="Q38">
            <v>248000</v>
          </cell>
          <cell r="R38">
            <v>53000</v>
          </cell>
          <cell r="S38">
            <v>0</v>
          </cell>
          <cell r="T38">
            <v>0</v>
          </cell>
          <cell r="U38">
            <v>7000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308000</v>
          </cell>
          <cell r="AF38">
            <v>233563</v>
          </cell>
          <cell r="AG38">
            <v>53810</v>
          </cell>
          <cell r="AH38">
            <v>0</v>
          </cell>
          <cell r="AI38">
            <v>200</v>
          </cell>
          <cell r="AJ38">
            <v>9060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296633</v>
          </cell>
          <cell r="AU38">
            <v>274</v>
          </cell>
          <cell r="AV38">
            <v>66</v>
          </cell>
          <cell r="AW38">
            <v>0</v>
          </cell>
          <cell r="AX38">
            <v>1</v>
          </cell>
          <cell r="AY38">
            <v>13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354</v>
          </cell>
          <cell r="BJ38">
            <v>37640</v>
          </cell>
          <cell r="BK38">
            <v>9377</v>
          </cell>
          <cell r="BL38">
            <v>0</v>
          </cell>
          <cell r="BM38">
            <v>1738</v>
          </cell>
          <cell r="BN38">
            <v>4920</v>
          </cell>
          <cell r="BO38">
            <v>0</v>
          </cell>
          <cell r="BP38">
            <v>1892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55567</v>
          </cell>
          <cell r="BY38">
            <v>3832.9</v>
          </cell>
          <cell r="BZ38">
            <v>0</v>
          </cell>
          <cell r="CA38">
            <v>662.25</v>
          </cell>
          <cell r="CB38">
            <v>4495.1499999999996</v>
          </cell>
        </row>
        <row r="39">
          <cell r="B39" t="str">
            <v>Opening Stock</v>
          </cell>
          <cell r="Q39" t="str">
            <v>Received</v>
          </cell>
          <cell r="AF39" t="str">
            <v>Production</v>
          </cell>
          <cell r="AU39" t="str">
            <v>Bursting</v>
          </cell>
          <cell r="BJ39" t="str">
            <v>Closing Stock</v>
          </cell>
          <cell r="BY39" t="str">
            <v>BM</v>
          </cell>
          <cell r="BZ39" t="str">
            <v>AM</v>
          </cell>
          <cell r="CA39" t="str">
            <v>GOLD</v>
          </cell>
          <cell r="CB39" t="str">
            <v>Total</v>
          </cell>
        </row>
      </sheetData>
      <sheetData sheetId="28">
        <row r="8">
          <cell r="D8">
            <v>233563</v>
          </cell>
          <cell r="F8">
            <v>274</v>
          </cell>
        </row>
        <row r="9">
          <cell r="D9">
            <v>53810</v>
          </cell>
          <cell r="F9">
            <v>66</v>
          </cell>
        </row>
        <row r="10">
          <cell r="D10">
            <v>200</v>
          </cell>
          <cell r="F10">
            <v>1</v>
          </cell>
        </row>
        <row r="11">
          <cell r="D11">
            <v>9060</v>
          </cell>
          <cell r="F11">
            <v>13</v>
          </cell>
        </row>
        <row r="12">
          <cell r="D12">
            <v>0</v>
          </cell>
          <cell r="F12">
            <v>0</v>
          </cell>
        </row>
        <row r="13">
          <cell r="F13">
            <v>354</v>
          </cell>
        </row>
        <row r="20">
          <cell r="D20">
            <v>11678.15</v>
          </cell>
        </row>
        <row r="21">
          <cell r="D21">
            <v>2700.5</v>
          </cell>
        </row>
        <row r="22">
          <cell r="D22">
            <v>453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F24"/>
  <sheetViews>
    <sheetView workbookViewId="0">
      <selection activeCell="I16" sqref="I16"/>
    </sheetView>
  </sheetViews>
  <sheetFormatPr defaultColWidth="9" defaultRowHeight="15"/>
  <cols>
    <col min="1" max="1" width="12.28515625" customWidth="1"/>
    <col min="2" max="2" width="24.7109375" customWidth="1"/>
    <col min="3" max="3" width="29" customWidth="1"/>
    <col min="4" max="4" width="26.42578125" customWidth="1"/>
    <col min="5" max="5" width="19.85546875" customWidth="1"/>
    <col min="6" max="6" width="24.140625" customWidth="1"/>
    <col min="7" max="7" width="21.7109375" customWidth="1"/>
    <col min="8" max="8" width="5.28515625" customWidth="1"/>
    <col min="9" max="9" width="16.42578125" customWidth="1"/>
    <col min="10" max="11" width="5.28515625" customWidth="1"/>
  </cols>
  <sheetData>
    <row r="1" spans="1:6" ht="18" customHeight="1">
      <c r="A1" s="117" t="s">
        <v>0</v>
      </c>
      <c r="B1" s="118"/>
      <c r="C1" s="118"/>
      <c r="D1" s="118"/>
      <c r="E1" s="118"/>
      <c r="F1" s="118"/>
    </row>
    <row r="2" spans="1:6" ht="15" customHeight="1">
      <c r="A2" s="119" t="s">
        <v>1</v>
      </c>
      <c r="B2" s="118"/>
      <c r="C2" s="118"/>
      <c r="D2" s="118"/>
      <c r="E2" s="118"/>
      <c r="F2" s="118"/>
    </row>
    <row r="3" spans="1:6" ht="15" customHeight="1">
      <c r="A3" s="120" t="s">
        <v>2</v>
      </c>
      <c r="B3" s="118"/>
      <c r="C3" s="118"/>
      <c r="D3" s="118"/>
      <c r="E3" s="118"/>
      <c r="F3" s="118"/>
    </row>
    <row r="4" spans="1:6" ht="15" customHeight="1">
      <c r="A4" s="121" t="s">
        <v>3</v>
      </c>
      <c r="B4" s="118"/>
      <c r="C4" s="118"/>
      <c r="D4" s="118"/>
      <c r="E4" s="118"/>
      <c r="F4" s="118"/>
    </row>
    <row r="5" spans="1:6" ht="15" customHeight="1">
      <c r="A5" s="121" t="s">
        <v>4</v>
      </c>
      <c r="B5" s="118"/>
      <c r="C5" s="118"/>
      <c r="D5" s="118"/>
      <c r="E5" s="118"/>
      <c r="F5" s="118"/>
    </row>
    <row r="6" spans="1:6" ht="10.9" customHeight="1">
      <c r="A6" s="109" t="s">
        <v>5</v>
      </c>
      <c r="B6" s="102" t="s">
        <v>6</v>
      </c>
      <c r="C6" s="104" t="s">
        <v>7</v>
      </c>
      <c r="D6" s="105"/>
      <c r="E6" s="106"/>
      <c r="F6" s="102" t="s">
        <v>8</v>
      </c>
    </row>
    <row r="7" spans="1:6" ht="10.9" customHeight="1">
      <c r="A7" s="110"/>
      <c r="B7" s="103"/>
      <c r="C7" s="55" t="s">
        <v>9</v>
      </c>
      <c r="D7" s="55" t="s">
        <v>10</v>
      </c>
      <c r="E7" s="56" t="s">
        <v>8</v>
      </c>
      <c r="F7" s="103"/>
    </row>
    <row r="8" spans="1:6" ht="9.75" customHeight="1">
      <c r="A8" s="57">
        <v>45205</v>
      </c>
      <c r="B8" s="58" t="s">
        <v>11</v>
      </c>
      <c r="C8" s="59">
        <v>1200</v>
      </c>
      <c r="D8" s="59">
        <v>100</v>
      </c>
      <c r="E8" s="59">
        <v>1300</v>
      </c>
      <c r="F8" s="59">
        <v>1300</v>
      </c>
    </row>
    <row r="9" spans="1:6" ht="9.75" customHeight="1">
      <c r="A9" s="107" t="s">
        <v>12</v>
      </c>
      <c r="B9" s="108"/>
      <c r="C9" s="60">
        <v>1200</v>
      </c>
      <c r="D9" s="60">
        <v>100</v>
      </c>
      <c r="E9" s="60">
        <v>1300</v>
      </c>
      <c r="F9" s="60">
        <v>1300</v>
      </c>
    </row>
    <row r="10" spans="1:6" ht="9.75" customHeight="1"/>
    <row r="11" spans="1:6" ht="10.9" customHeight="1">
      <c r="A11" s="111" t="s">
        <v>5</v>
      </c>
      <c r="B11" s="114" t="s">
        <v>13</v>
      </c>
      <c r="C11" s="61" t="s">
        <v>7</v>
      </c>
      <c r="D11" s="97" t="s">
        <v>8</v>
      </c>
    </row>
    <row r="12" spans="1:6">
      <c r="A12" s="112"/>
      <c r="B12" s="115"/>
      <c r="C12" s="61" t="s">
        <v>9</v>
      </c>
      <c r="D12" s="98"/>
    </row>
    <row r="13" spans="1:6" ht="21.2" customHeight="1">
      <c r="A13" s="113"/>
      <c r="B13" s="116"/>
      <c r="C13" s="61" t="s">
        <v>14</v>
      </c>
      <c r="D13" s="99"/>
    </row>
    <row r="14" spans="1:6" ht="21.2" customHeight="1">
      <c r="A14" s="62">
        <v>45205</v>
      </c>
      <c r="B14" s="63" t="s">
        <v>11</v>
      </c>
      <c r="C14" s="59">
        <v>5</v>
      </c>
      <c r="D14" s="59">
        <v>5</v>
      </c>
    </row>
    <row r="15" spans="1:6" ht="21.2" customHeight="1">
      <c r="A15" s="64" t="s">
        <v>12</v>
      </c>
      <c r="B15" s="65"/>
      <c r="C15" s="66">
        <v>5</v>
      </c>
      <c r="D15" s="66">
        <v>5</v>
      </c>
    </row>
    <row r="16" spans="1:6" ht="21.2" customHeight="1"/>
    <row r="17" spans="1:4" ht="21.2" customHeight="1">
      <c r="A17" s="67" t="s">
        <v>15</v>
      </c>
      <c r="B17" s="95" t="s">
        <v>9</v>
      </c>
      <c r="C17" s="95" t="s">
        <v>10</v>
      </c>
      <c r="D17" s="100" t="s">
        <v>8</v>
      </c>
    </row>
    <row r="18" spans="1:4" ht="21.2" customHeight="1">
      <c r="A18" s="68" t="s">
        <v>16</v>
      </c>
      <c r="B18" s="96"/>
      <c r="C18" s="96"/>
      <c r="D18" s="101"/>
    </row>
    <row r="19" spans="1:4" ht="21.2" customHeight="1">
      <c r="A19" s="69">
        <v>45205</v>
      </c>
      <c r="B19" s="70">
        <v>1200</v>
      </c>
      <c r="C19" s="70">
        <v>100</v>
      </c>
      <c r="D19" s="70">
        <v>1300</v>
      </c>
    </row>
    <row r="20" spans="1:4">
      <c r="A20" s="10" t="s">
        <v>17</v>
      </c>
      <c r="B20" s="10">
        <v>1200</v>
      </c>
      <c r="C20" s="10">
        <v>100</v>
      </c>
      <c r="D20" s="10">
        <v>1300</v>
      </c>
    </row>
    <row r="21" spans="1:4" ht="16.350000000000001" customHeight="1"/>
    <row r="22" spans="1:4" ht="16.350000000000001" customHeight="1">
      <c r="A22" s="71" t="s">
        <v>18</v>
      </c>
    </row>
    <row r="23" spans="1:4" ht="13.15" customHeight="1"/>
    <row r="24" spans="1:4" ht="11.85" customHeight="1"/>
  </sheetData>
  <mergeCells count="16">
    <mergeCell ref="A1:F1"/>
    <mergeCell ref="A2:F2"/>
    <mergeCell ref="A3:F3"/>
    <mergeCell ref="A4:F4"/>
    <mergeCell ref="A5:F5"/>
    <mergeCell ref="B17:B18"/>
    <mergeCell ref="C17:C18"/>
    <mergeCell ref="D11:D13"/>
    <mergeCell ref="D17:D18"/>
    <mergeCell ref="F6:F7"/>
    <mergeCell ref="C6:E6"/>
    <mergeCell ref="A9:B9"/>
    <mergeCell ref="A6:A7"/>
    <mergeCell ref="A11:A13"/>
    <mergeCell ref="B6:B7"/>
    <mergeCell ref="B11:B1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BK21"/>
  <sheetViews>
    <sheetView workbookViewId="0">
      <selection activeCell="D6" sqref="D6"/>
    </sheetView>
  </sheetViews>
  <sheetFormatPr defaultColWidth="9" defaultRowHeight="15"/>
  <cols>
    <col min="1" max="1" width="14.28515625" customWidth="1"/>
    <col min="17" max="17" width="12.7109375" customWidth="1"/>
    <col min="18" max="18" width="9.7109375" customWidth="1"/>
    <col min="20" max="20" width="9.85546875" customWidth="1"/>
  </cols>
  <sheetData>
    <row r="1" spans="1:63" ht="10.5" customHeight="1"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</row>
    <row r="2" spans="1:63" ht="10.5" customHeight="1"/>
    <row r="3" spans="1:63" ht="18.75">
      <c r="A3" s="21" t="s">
        <v>15</v>
      </c>
    </row>
    <row r="4" spans="1:63" ht="15.75" customHeight="1">
      <c r="A4" s="22" t="s">
        <v>5</v>
      </c>
      <c r="B4" s="23" t="s">
        <v>6</v>
      </c>
      <c r="C4" s="131" t="s">
        <v>7</v>
      </c>
      <c r="D4" s="132"/>
      <c r="E4" s="132"/>
      <c r="F4" s="132"/>
      <c r="G4" s="132"/>
      <c r="H4" s="133"/>
      <c r="I4" s="134" t="s">
        <v>26</v>
      </c>
      <c r="J4" s="135"/>
      <c r="K4" s="135"/>
      <c r="L4" s="135"/>
      <c r="M4" s="135"/>
      <c r="N4" s="136"/>
      <c r="O4" s="22" t="s">
        <v>8</v>
      </c>
      <c r="Q4" s="22" t="s">
        <v>5</v>
      </c>
      <c r="R4" s="40" t="s">
        <v>6</v>
      </c>
      <c r="S4" s="137" t="str">
        <f t="shared" ref="S4:S6" si="0">C4</f>
        <v>CKER - 1</v>
      </c>
      <c r="T4" s="137">
        <f t="shared" ref="T4:T6" si="1">D4</f>
        <v>0</v>
      </c>
      <c r="U4" s="137">
        <f t="shared" ref="U4:U6" si="2">E4</f>
        <v>0</v>
      </c>
      <c r="V4" s="137">
        <f t="shared" ref="V4:V6" si="3">F4</f>
        <v>0</v>
      </c>
      <c r="W4" s="137">
        <f t="shared" ref="W4:W6" si="4">G4</f>
        <v>0</v>
      </c>
      <c r="X4" s="137">
        <f t="shared" ref="X4:X6" si="5">H4</f>
        <v>0</v>
      </c>
      <c r="Y4" s="138" t="str">
        <f t="shared" ref="Y4:Y6" si="6">I4</f>
        <v>CKER - 2</v>
      </c>
      <c r="Z4" s="138">
        <f t="shared" ref="Z4:Z6" si="7">J4</f>
        <v>0</v>
      </c>
      <c r="AA4" s="138">
        <f t="shared" ref="AA4:AA6" si="8">K4</f>
        <v>0</v>
      </c>
      <c r="AB4" s="138">
        <f t="shared" ref="AB4:AB6" si="9">L4</f>
        <v>0</v>
      </c>
      <c r="AC4" s="138">
        <f t="shared" ref="AC4:AC6" si="10">M4</f>
        <v>0</v>
      </c>
      <c r="AD4" s="138">
        <f t="shared" ref="AD4:AD6" si="11">N4</f>
        <v>0</v>
      </c>
      <c r="AE4" s="128" t="str">
        <f t="shared" ref="AE4:AE6" si="12">O4</f>
        <v>Total</v>
      </c>
    </row>
    <row r="5" spans="1:63" ht="22.5" hidden="1" customHeight="1">
      <c r="A5" s="24"/>
      <c r="B5" s="25"/>
      <c r="C5" s="26" t="s">
        <v>27</v>
      </c>
      <c r="D5" s="26" t="s">
        <v>28</v>
      </c>
      <c r="E5" s="26" t="s">
        <v>9</v>
      </c>
      <c r="F5" s="26" t="s">
        <v>10</v>
      </c>
      <c r="G5" s="26" t="s">
        <v>29</v>
      </c>
      <c r="H5" s="27" t="s">
        <v>8</v>
      </c>
      <c r="I5" s="35" t="str">
        <f>C5</f>
        <v>BAG CEMENT A-M SPECIAL (PCC)</v>
      </c>
      <c r="J5" s="35" t="str">
        <f t="shared" ref="J5:M6" si="13">D5</f>
        <v>BAG CEMENT A-M (SPECIAL) PCC 1 PLY</v>
      </c>
      <c r="K5" s="35" t="str">
        <f t="shared" si="13"/>
        <v>BAG CEMENT B-M (PCC)</v>
      </c>
      <c r="L5" s="35" t="str">
        <f t="shared" si="13"/>
        <v>BAG CEMENT GOLD (OPC)</v>
      </c>
      <c r="M5" s="35" t="str">
        <f t="shared" si="13"/>
        <v>BAG CEMENT GOLD (OPC) 1 PLY</v>
      </c>
      <c r="N5" s="36" t="s">
        <v>8</v>
      </c>
      <c r="O5" s="37"/>
      <c r="Q5" s="24"/>
      <c r="R5" s="25"/>
      <c r="S5" s="26" t="str">
        <f t="shared" si="0"/>
        <v>BAG CEMENT A-M SPECIAL (PCC)</v>
      </c>
      <c r="T5" s="26" t="str">
        <f t="shared" si="1"/>
        <v>BAG CEMENT A-M (SPECIAL) PCC 1 PLY</v>
      </c>
      <c r="U5" s="26" t="str">
        <f t="shared" si="2"/>
        <v>BAG CEMENT B-M (PCC)</v>
      </c>
      <c r="V5" s="26" t="str">
        <f t="shared" si="3"/>
        <v>BAG CEMENT GOLD (OPC)</v>
      </c>
      <c r="W5" s="26" t="str">
        <f t="shared" si="4"/>
        <v>BAG CEMENT GOLD (OPC) 1 PLY</v>
      </c>
      <c r="X5" s="27" t="str">
        <f t="shared" si="5"/>
        <v>Total</v>
      </c>
      <c r="Y5" s="35" t="str">
        <f t="shared" si="6"/>
        <v>BAG CEMENT A-M SPECIAL (PCC)</v>
      </c>
      <c r="Z5" s="35" t="str">
        <f t="shared" si="7"/>
        <v>BAG CEMENT A-M (SPECIAL) PCC 1 PLY</v>
      </c>
      <c r="AA5" s="35" t="str">
        <f t="shared" si="8"/>
        <v>BAG CEMENT B-M (PCC)</v>
      </c>
      <c r="AB5" s="35" t="str">
        <f t="shared" si="9"/>
        <v>BAG CEMENT GOLD (OPC)</v>
      </c>
      <c r="AC5" s="35" t="str">
        <f t="shared" si="10"/>
        <v>BAG CEMENT GOLD (OPC) 1 PLY</v>
      </c>
      <c r="AD5" s="36" t="str">
        <f t="shared" si="11"/>
        <v>Total</v>
      </c>
      <c r="AE5" s="128">
        <f t="shared" si="12"/>
        <v>0</v>
      </c>
    </row>
    <row r="6" spans="1:63" ht="31.5">
      <c r="A6" s="28"/>
      <c r="B6" s="25"/>
      <c r="C6" s="26" t="s">
        <v>20</v>
      </c>
      <c r="D6" s="26" t="s">
        <v>21</v>
      </c>
      <c r="E6" s="26" t="s">
        <v>19</v>
      </c>
      <c r="F6" s="26" t="s">
        <v>23</v>
      </c>
      <c r="G6" s="26" t="s">
        <v>24</v>
      </c>
      <c r="H6" s="27" t="s">
        <v>8</v>
      </c>
      <c r="I6" s="35" t="str">
        <f>C6</f>
        <v>AM (2 Ply)</v>
      </c>
      <c r="J6" s="35" t="str">
        <f t="shared" si="13"/>
        <v>AM (1 PLY )</v>
      </c>
      <c r="K6" s="35" t="str">
        <f t="shared" si="13"/>
        <v>BM (2 PLY)</v>
      </c>
      <c r="L6" s="35" t="str">
        <f t="shared" si="13"/>
        <v>Gold (2 PLY)</v>
      </c>
      <c r="M6" s="35" t="str">
        <f t="shared" si="13"/>
        <v>Gold (1 PLY)</v>
      </c>
      <c r="N6" s="36" t="str">
        <f>H6</f>
        <v>Total</v>
      </c>
      <c r="O6" s="37" t="str">
        <f>N6</f>
        <v>Total</v>
      </c>
      <c r="Q6" s="28"/>
      <c r="R6" s="25"/>
      <c r="S6" s="26" t="str">
        <f t="shared" si="0"/>
        <v>AM (2 Ply)</v>
      </c>
      <c r="T6" s="26" t="str">
        <f t="shared" si="1"/>
        <v>AM (1 PLY )</v>
      </c>
      <c r="U6" s="26" t="str">
        <f t="shared" si="2"/>
        <v>BM (2 PLY)</v>
      </c>
      <c r="V6" s="26" t="str">
        <f t="shared" si="3"/>
        <v>Gold (2 PLY)</v>
      </c>
      <c r="W6" s="26" t="str">
        <f t="shared" si="4"/>
        <v>Gold (1 PLY)</v>
      </c>
      <c r="X6" s="27" t="str">
        <f t="shared" si="5"/>
        <v>Total</v>
      </c>
      <c r="Y6" s="35" t="str">
        <f t="shared" si="6"/>
        <v>AM (2 Ply)</v>
      </c>
      <c r="Z6" s="35" t="str">
        <f t="shared" si="7"/>
        <v>AM (1 PLY )</v>
      </c>
      <c r="AA6" s="35" t="str">
        <f t="shared" si="8"/>
        <v>BM (2 PLY)</v>
      </c>
      <c r="AB6" s="35" t="str">
        <f t="shared" si="9"/>
        <v>Gold (2 PLY)</v>
      </c>
      <c r="AC6" s="35" t="str">
        <f t="shared" si="10"/>
        <v>Gold (1 PLY)</v>
      </c>
      <c r="AD6" s="36" t="str">
        <f t="shared" si="11"/>
        <v>Total</v>
      </c>
      <c r="AE6" s="50" t="str">
        <f t="shared" si="12"/>
        <v>Total</v>
      </c>
    </row>
    <row r="7" spans="1:63" ht="15.75" customHeight="1">
      <c r="A7" s="122" t="str">
        <f>MID('Imported Data'!A4,6,9)</f>
        <v>06-OCT-23</v>
      </c>
      <c r="B7" s="29" t="s">
        <v>11</v>
      </c>
      <c r="C7" s="16" t="str">
        <f ca="1">IFERROR(HLOOKUP(C$5,INDIRECT("'Imported Data'!c7:"&amp;CHAR(MATCH("Total",'Imported Data'!7:7,0)+65)&amp;"10"),ROW()-5,0),"")</f>
        <v/>
      </c>
      <c r="D7" s="16" t="str">
        <f ca="1">IFERROR(HLOOKUP(D$5,INDIRECT("'Imported Data'!c7:"&amp;CHAR(MATCH("Total",'Imported Data'!7:7,0)+65)&amp;"10"),ROW()-5,0),"")</f>
        <v/>
      </c>
      <c r="E7" s="16">
        <f ca="1">IFERROR(HLOOKUP(E$5,INDIRECT("'Imported Data'!c7:"&amp;CHAR(MATCH("Total",'Imported Data'!7:7,0)+65)&amp;"10"),ROW()-5,0),"")</f>
        <v>1200</v>
      </c>
      <c r="F7" s="16">
        <f ca="1">IFERROR(HLOOKUP(F$5,INDIRECT("'Imported Data'!c7:"&amp;CHAR(MATCH("Total",'Imported Data'!7:7,0)+65)&amp;"10"),ROW()-5,0),"")</f>
        <v>100</v>
      </c>
      <c r="G7" s="16" t="str">
        <f ca="1">IFERROR(HLOOKUP(G$5,INDIRECT("'Imported Data'!c7:"&amp;CHAR(MATCH("Total",'Imported Data'!7:7,0)+65)&amp;"10"),ROW()-5,0),"")</f>
        <v/>
      </c>
      <c r="H7" s="16">
        <f ca="1">IFERROR(HLOOKUP(H$5,INDIRECT("'Imported Data'!c7:"&amp;CHAR(MATCH("Total",'Imported Data'!7:7,0)+65)&amp;"10"),ROW()-5,0),"")</f>
        <v>1300</v>
      </c>
      <c r="I7" s="16" t="str">
        <f ca="1">IFERROR(HLOOKUP(I$5,INDIRECT("'Imported Data'!"&amp;CHAR(MATCH("Total",'Imported Data'!7:7,0)+65)&amp;"7:"&amp;"P10"),ROW()-5,0),"")</f>
        <v/>
      </c>
      <c r="J7" s="16" t="str">
        <f ca="1">IFERROR(HLOOKUP(J$5,INDIRECT("'Imported Data'!"&amp;CHAR(MATCH("Total",'Imported Data'!7:7,0)+65)&amp;"7:"&amp;"P10"),ROW()-5,0),"")</f>
        <v/>
      </c>
      <c r="K7" s="16" t="str">
        <f ca="1">IFERROR(HLOOKUP(K$5,INDIRECT("'Imported Data'!"&amp;CHAR(MATCH("Total",'Imported Data'!7:7,0)+65)&amp;"7:"&amp;"P10"),ROW()-5,0),"")</f>
        <v/>
      </c>
      <c r="L7" s="16" t="str">
        <f ca="1">IFERROR(HLOOKUP(L$5,INDIRECT("'Imported Data'!"&amp;CHAR(MATCH("Total",'Imported Data'!7:7,0)+65)&amp;"7:"&amp;"P10"),ROW()-5,0),"")</f>
        <v/>
      </c>
      <c r="M7" s="16" t="str">
        <f ca="1">IFERROR(HLOOKUP(M$5,INDIRECT("'Imported Data'!"&amp;CHAR(MATCH("Total",'Imported Data'!7:7,0)+65)&amp;"7:"&amp;"P10"),ROW()-5,0),"")</f>
        <v/>
      </c>
      <c r="N7" s="16" t="str">
        <f ca="1">IFERROR(HLOOKUP(N$5,INDIRECT("'Imported Data'!"&amp;CHAR(MATCH("Total",'Imported Data'!7:7,0)+65)&amp;"7:"&amp;"P10"),ROW()-5,0),"")</f>
        <v/>
      </c>
      <c r="O7" s="16" t="str">
        <f ca="1">IFERROR(H7+N7,"")</f>
        <v/>
      </c>
      <c r="Q7" s="125">
        <f>A7+0</f>
        <v>45205</v>
      </c>
      <c r="R7" s="41" t="s">
        <v>11</v>
      </c>
      <c r="S7" s="42" t="e">
        <f>VLOOKUP($Q$7,'[1]Production Details by Shift (2)'!$A$5:'[1]Production Details by Shift (2)'!$MJ$36,SUM(165+1+0),0)</f>
        <v>#REF!</v>
      </c>
      <c r="T7" s="43" t="e">
        <f>VLOOKUP($Q$7,'[1]Production Details by Shift (2)'!$A$5:'[1]Production Details by Shift (2)'!$MJ$36,SUM(165+2+0),0)+VLOOKUP($Q$7,'[1]Production Details by Shift (2)'!$A$5:'[1]Production Details by Shift (2)'!$MJ$36,SUM(165+3+0),0)</f>
        <v>#REF!</v>
      </c>
      <c r="U7" s="42" t="e">
        <f>VLOOKUP($Q$7,'[1]Production Details by Shift (2)'!$A$5:'[1]Production Details by Shift (2)'!$MJ$36,SUM(165+0+0),0)</f>
        <v>#REF!</v>
      </c>
      <c r="V7" s="42" t="e">
        <f>VLOOKUP($Q$7,'[1]Production Details by Shift (2)'!$A$5:'[1]Production Details by Shift (2)'!$MJ$36,SUM(165+4+0),0)</f>
        <v>#REF!</v>
      </c>
      <c r="W7" s="43" t="e">
        <f>VLOOKUP($Q$7,'[1]Production Details by Shift (2)'!$A$5:'[1]Production Details by Shift (2)'!$MJ$36,SUM(165+5+0),0)+VLOOKUP($Q$7,'[1]Production Details by Shift (2)'!$A$5:'[1]Production Details by Shift (2)'!$MJ$36,SUM(165+6+0),0)</f>
        <v>#REF!</v>
      </c>
      <c r="X7" s="44" t="e">
        <f>SUM(S7:W7)</f>
        <v>#REF!</v>
      </c>
      <c r="Y7" s="42" t="e">
        <f>VLOOKUP($Q$7,'[1]Production Details by Shift (2)'!$A$5:'[1]Production Details by Shift (2)'!$MJ$36,SUM(211+1+0),0)</f>
        <v>#REF!</v>
      </c>
      <c r="Z7" s="43" t="e">
        <f>VLOOKUP($Q$7,'[1]Production Details by Shift (2)'!$A$5:'[1]Production Details by Shift (2)'!$MJ$36,SUM(211+2+0),0)+VLOOKUP($Q$7,'[1]Production Details by Shift (2)'!$A$5:'[1]Production Details by Shift (2)'!$MJ$36,SUM(211+3+0),0)</f>
        <v>#REF!</v>
      </c>
      <c r="AA7" s="42" t="e">
        <f>VLOOKUP($Q$7,'[1]Production Details by Shift (2)'!$A$5:'[1]Production Details by Shift (2)'!$MJ$36,SUM(211+0+0),0)</f>
        <v>#REF!</v>
      </c>
      <c r="AB7" s="42" t="e">
        <f>VLOOKUP($Q$7,'[1]Production Details by Shift (2)'!$A$5:'[1]Production Details by Shift (2)'!$MJ$36,SUM(211+4+0),0)</f>
        <v>#REF!</v>
      </c>
      <c r="AC7" s="43" t="e">
        <f>VLOOKUP($Q$7,'[1]Production Details by Shift (2)'!$A$5:'[1]Production Details by Shift (2)'!$MJ$36,SUM(211+5+0),0)+VLOOKUP($Q$7,'[1]Production Details by Shift (2)'!$A$5:'[1]Production Details by Shift (2)'!$MJ$36,SUM(211+6+0),0)</f>
        <v>#REF!</v>
      </c>
      <c r="AD7" s="51" t="e">
        <f>SUM(Y7:AC7)</f>
        <v>#REF!</v>
      </c>
      <c r="AE7" s="52" t="str">
        <f>IFERROR(X7+AD7,"")</f>
        <v/>
      </c>
      <c r="AG7" s="54" t="e">
        <f ca="1">IF(EXACT(C7,S7)=TRUE,TRUE,"")</f>
        <v>#REF!</v>
      </c>
      <c r="AH7" s="54" t="e">
        <f t="shared" ref="AH7:AS7" ca="1" si="14">IF(EXACT(D7,T7)=TRUE,TRUE,"")</f>
        <v>#REF!</v>
      </c>
      <c r="AI7" s="54" t="e">
        <f t="shared" ca="1" si="14"/>
        <v>#REF!</v>
      </c>
      <c r="AJ7" s="54" t="e">
        <f t="shared" ca="1" si="14"/>
        <v>#REF!</v>
      </c>
      <c r="AK7" s="54" t="e">
        <f t="shared" ca="1" si="14"/>
        <v>#REF!</v>
      </c>
      <c r="AL7" s="54" t="e">
        <f t="shared" ca="1" si="14"/>
        <v>#REF!</v>
      </c>
      <c r="AM7" s="54" t="e">
        <f t="shared" ca="1" si="14"/>
        <v>#REF!</v>
      </c>
      <c r="AN7" s="54" t="e">
        <f t="shared" ca="1" si="14"/>
        <v>#REF!</v>
      </c>
      <c r="AO7" s="54" t="e">
        <f t="shared" ca="1" si="14"/>
        <v>#REF!</v>
      </c>
      <c r="AP7" s="54" t="e">
        <f t="shared" ca="1" si="14"/>
        <v>#REF!</v>
      </c>
      <c r="AQ7" s="54" t="e">
        <f t="shared" ca="1" si="14"/>
        <v>#REF!</v>
      </c>
      <c r="AR7" s="54" t="e">
        <f t="shared" ca="1" si="14"/>
        <v>#REF!</v>
      </c>
      <c r="AS7" s="54" t="b">
        <f t="shared" ca="1" si="14"/>
        <v>1</v>
      </c>
    </row>
    <row r="8" spans="1:63" ht="15.75" customHeight="1">
      <c r="A8" s="123"/>
      <c r="B8" s="29" t="s">
        <v>30</v>
      </c>
      <c r="C8" s="16" t="str">
        <f ca="1">IFERROR(HLOOKUP(C$5,INDIRECT("'Imported Data'!c7:"&amp;CHAR(MATCH("Total",'Imported Data'!7:7,0)+65)&amp;"10"),ROW()-5,0),"")</f>
        <v/>
      </c>
      <c r="D8" s="16" t="str">
        <f ca="1">IFERROR(HLOOKUP(D$5,INDIRECT("'Imported Data'!c7:"&amp;CHAR(MATCH("Total",'Imported Data'!7:7,0)+65)&amp;"10"),ROW()-5,0),"")</f>
        <v/>
      </c>
      <c r="E8" s="16">
        <f ca="1">IFERROR(HLOOKUP(E$5,INDIRECT("'Imported Data'!c7:"&amp;CHAR(MATCH("Total",'Imported Data'!7:7,0)+65)&amp;"10"),ROW()-5,0),"")</f>
        <v>1200</v>
      </c>
      <c r="F8" s="16">
        <f ca="1">IFERROR(HLOOKUP(F$5,INDIRECT("'Imported Data'!c7:"&amp;CHAR(MATCH("Total",'Imported Data'!7:7,0)+65)&amp;"10"),ROW()-5,0),"")</f>
        <v>100</v>
      </c>
      <c r="G8" s="16" t="str">
        <f ca="1">IFERROR(HLOOKUP(G$5,INDIRECT("'Imported Data'!c7:"&amp;CHAR(MATCH("Total",'Imported Data'!7:7,0)+65)&amp;"10"),ROW()-5,0),"")</f>
        <v/>
      </c>
      <c r="H8" s="16">
        <f ca="1">IFERROR(HLOOKUP(H$5,INDIRECT("'Imported Data'!c7:"&amp;CHAR(MATCH("Total",'Imported Data'!7:7,0)+65)&amp;"10"),ROW()-5,0),"")</f>
        <v>1300</v>
      </c>
      <c r="I8" s="16" t="str">
        <f ca="1">IFERROR(HLOOKUP(I$5,INDIRECT("'Imported Data'!"&amp;CHAR(MATCH("Total",'Imported Data'!7:7,0)+65)&amp;"7:"&amp;"P10"),ROW()-5,0),"")</f>
        <v/>
      </c>
      <c r="J8" s="16" t="str">
        <f ca="1">IFERROR(HLOOKUP(J$5,INDIRECT("'Imported Data'!"&amp;CHAR(MATCH("Total",'Imported Data'!7:7,0)+65)&amp;"7:"&amp;"P10"),ROW()-5,0),"")</f>
        <v/>
      </c>
      <c r="K8" s="16" t="str">
        <f ca="1">IFERROR(HLOOKUP(K$5,INDIRECT("'Imported Data'!"&amp;CHAR(MATCH("Total",'Imported Data'!7:7,0)+65)&amp;"7:"&amp;"P10"),ROW()-5,0),"")</f>
        <v/>
      </c>
      <c r="L8" s="16" t="str">
        <f ca="1">IFERROR(HLOOKUP(L$5,INDIRECT("'Imported Data'!"&amp;CHAR(MATCH("Total",'Imported Data'!7:7,0)+65)&amp;"7:"&amp;"P10"),ROW()-5,0),"")</f>
        <v/>
      </c>
      <c r="M8" s="16" t="str">
        <f ca="1">IFERROR(HLOOKUP(M$5,INDIRECT("'Imported Data'!"&amp;CHAR(MATCH("Total",'Imported Data'!7:7,0)+65)&amp;"7:"&amp;"P10"),ROW()-5,0),"")</f>
        <v/>
      </c>
      <c r="N8" s="16" t="str">
        <f ca="1">IFERROR(HLOOKUP(N$5,INDIRECT("'Imported Data'!"&amp;CHAR(MATCH("Total",'Imported Data'!7:7,0)+65)&amp;"7:"&amp;"P10"),ROW()-5,0),"")</f>
        <v/>
      </c>
      <c r="O8" s="16" t="str">
        <f t="shared" ref="O8:O9" ca="1" si="15">IFERROR(H8+N8,"")</f>
        <v/>
      </c>
      <c r="Q8" s="126"/>
      <c r="R8" s="41" t="s">
        <v>30</v>
      </c>
      <c r="S8" s="42" t="e">
        <f>VLOOKUP($Q$7,'[1]Production Details by Shift (2)'!$A$5:'[1]Production Details by Shift (2)'!$MJ$36,SUM(165+1+15),0)</f>
        <v>#REF!</v>
      </c>
      <c r="T8" s="43" t="e">
        <f>VLOOKUP($Q$7,'[1]Production Details by Shift (2)'!$A$5:'[1]Production Details by Shift (2)'!$MJ$36,SUM(165+2+15),0)+VLOOKUP($Q$7,'[1]Production Details by Shift (2)'!$A$5:'[1]Production Details by Shift (2)'!$MJ$36,SUM(165+3+15),0)</f>
        <v>#REF!</v>
      </c>
      <c r="U8" s="42" t="e">
        <f>VLOOKUP($Q$7,'[1]Production Details by Shift (2)'!$A$5:'[1]Production Details by Shift (2)'!$MJ$36,SUM(165+0+15),0)</f>
        <v>#REF!</v>
      </c>
      <c r="V8" s="42" t="e">
        <f>VLOOKUP($Q$7,'[1]Production Details by Shift (2)'!$A$5:'[1]Production Details by Shift (2)'!$MJ$36,SUM(165+4+15),0)</f>
        <v>#REF!</v>
      </c>
      <c r="W8" s="43" t="e">
        <f>VLOOKUP($Q$7,'[1]Production Details by Shift (2)'!$A$5:'[1]Production Details by Shift (2)'!$MJ$36,SUM(165+5+15),0)+VLOOKUP($Q$7,'[1]Production Details by Shift (2)'!$A$5:'[1]Production Details by Shift (2)'!$MJ$36,SUM(165+6+15),0)</f>
        <v>#REF!</v>
      </c>
      <c r="X8" s="44" t="e">
        <f t="shared" ref="X8:X9" si="16">SUM(S8:W8)</f>
        <v>#REF!</v>
      </c>
      <c r="Y8" s="42" t="e">
        <f>VLOOKUP($Q$7,'[1]Production Details by Shift (2)'!$A$5:'[1]Production Details by Shift (2)'!$MJ$36,SUM(211+1+15),0)</f>
        <v>#REF!</v>
      </c>
      <c r="Z8" s="43" t="e">
        <f>VLOOKUP($Q$7,'[1]Production Details by Shift (2)'!$A$5:'[1]Production Details by Shift (2)'!$MJ$36,SUM(211+2+15),0)+VLOOKUP($Q$7,'[1]Production Details by Shift (2)'!$A$5:'[1]Production Details by Shift (2)'!$MJ$36,SUM(211+3+15),0)</f>
        <v>#REF!</v>
      </c>
      <c r="AA8" s="42" t="e">
        <f>VLOOKUP($Q$7,'[1]Production Details by Shift (2)'!$A$5:'[1]Production Details by Shift (2)'!$MJ$36,SUM(211+0+15),0)</f>
        <v>#REF!</v>
      </c>
      <c r="AB8" s="42" t="e">
        <f>VLOOKUP($Q$7,'[1]Production Details by Shift (2)'!$A$5:'[1]Production Details by Shift (2)'!$MJ$36,SUM(211+4+15),0)</f>
        <v>#REF!</v>
      </c>
      <c r="AC8" s="43" t="e">
        <f>VLOOKUP($Q$7,'[1]Production Details by Shift (2)'!$A$5:'[1]Production Details by Shift (2)'!$MJ$36,SUM(211+5+15),0)+VLOOKUP($Q$7,'[1]Production Details by Shift (2)'!$A$5:'[1]Production Details by Shift (2)'!$MJ$36,SUM(211+6+15),0)</f>
        <v>#REF!</v>
      </c>
      <c r="AD8" s="51" t="e">
        <f t="shared" ref="AD8:AD9" si="17">SUM(Y8:AC8)</f>
        <v>#REF!</v>
      </c>
      <c r="AE8" s="52" t="str">
        <f t="shared" ref="AE8:AE9" si="18">IFERROR(X8+AD8,"")</f>
        <v/>
      </c>
      <c r="AG8" s="54" t="e">
        <f t="shared" ref="AG8:AG10" ca="1" si="19">IF(EXACT(C8,S8)=TRUE,TRUE,"")</f>
        <v>#REF!</v>
      </c>
      <c r="AH8" s="54" t="e">
        <f t="shared" ref="AH8:AH10" ca="1" si="20">IF(EXACT(D8,T8)=TRUE,TRUE,"")</f>
        <v>#REF!</v>
      </c>
      <c r="AI8" s="54" t="e">
        <f t="shared" ref="AI8:AI10" ca="1" si="21">IF(EXACT(E8,U8)=TRUE,TRUE,"")</f>
        <v>#REF!</v>
      </c>
      <c r="AJ8" s="54" t="e">
        <f t="shared" ref="AJ8:AJ10" ca="1" si="22">IF(EXACT(F8,V8)=TRUE,TRUE,"")</f>
        <v>#REF!</v>
      </c>
      <c r="AK8" s="54" t="e">
        <f t="shared" ref="AK8:AK10" ca="1" si="23">IF(EXACT(G8,W8)=TRUE,TRUE,"")</f>
        <v>#REF!</v>
      </c>
      <c r="AL8" s="54" t="e">
        <f t="shared" ref="AL8:AL10" ca="1" si="24">IF(EXACT(H8,X8)=TRUE,TRUE,"")</f>
        <v>#REF!</v>
      </c>
      <c r="AM8" s="54" t="e">
        <f t="shared" ref="AM8:AM10" ca="1" si="25">IF(EXACT(I8,Y8)=TRUE,TRUE,"")</f>
        <v>#REF!</v>
      </c>
      <c r="AN8" s="54" t="e">
        <f t="shared" ref="AN8:AN10" ca="1" si="26">IF(EXACT(J8,Z8)=TRUE,TRUE,"")</f>
        <v>#REF!</v>
      </c>
      <c r="AO8" s="54" t="e">
        <f t="shared" ref="AO8:AO10" ca="1" si="27">IF(EXACT(K8,AA8)=TRUE,TRUE,"")</f>
        <v>#REF!</v>
      </c>
      <c r="AP8" s="54" t="e">
        <f t="shared" ref="AP8:AP10" ca="1" si="28">IF(EXACT(L8,AB8)=TRUE,TRUE,"")</f>
        <v>#REF!</v>
      </c>
      <c r="AQ8" s="54" t="e">
        <f t="shared" ref="AQ8:AQ10" ca="1" si="29">IF(EXACT(M8,AC8)=TRUE,TRUE,"")</f>
        <v>#REF!</v>
      </c>
      <c r="AR8" s="54" t="e">
        <f t="shared" ref="AR8:AR10" ca="1" si="30">IF(EXACT(N8,AD8)=TRUE,TRUE,"")</f>
        <v>#REF!</v>
      </c>
      <c r="AS8" s="54" t="b">
        <f t="shared" ref="AS8:AS10" ca="1" si="31">IF(EXACT(O8,AE8)=TRUE,TRUE,"")</f>
        <v>1</v>
      </c>
    </row>
    <row r="9" spans="1:63" ht="15.75" customHeight="1">
      <c r="A9" s="124"/>
      <c r="B9" s="30" t="s">
        <v>31</v>
      </c>
      <c r="C9" s="16" t="str">
        <f ca="1">IFERROR(HLOOKUP(C$5,INDIRECT("'Imported Data'!c7:"&amp;CHAR(MATCH("Total",'Imported Data'!7:7,0)+65)&amp;"10"),ROW()-5,0),"")</f>
        <v/>
      </c>
      <c r="D9" s="16" t="str">
        <f ca="1">IFERROR(HLOOKUP(D$5,INDIRECT("'Imported Data'!c7:"&amp;CHAR(MATCH("Total",'Imported Data'!7:7,0)+65)&amp;"10"),ROW()-5,0),"")</f>
        <v/>
      </c>
      <c r="E9" s="16">
        <f ca="1">IFERROR(HLOOKUP(E$5,INDIRECT("'Imported Data'!c7:"&amp;CHAR(MATCH("Total",'Imported Data'!7:7,0)+65)&amp;"10"),ROW()-5,0),"")</f>
        <v>0</v>
      </c>
      <c r="F9" s="16">
        <f ca="1">IFERROR(HLOOKUP(F$5,INDIRECT("'Imported Data'!c7:"&amp;CHAR(MATCH("Total",'Imported Data'!7:7,0)+65)&amp;"10"),ROW()-5,0),"")</f>
        <v>0</v>
      </c>
      <c r="G9" s="16" t="str">
        <f ca="1">IFERROR(HLOOKUP(G$5,INDIRECT("'Imported Data'!c7:"&amp;CHAR(MATCH("Total",'Imported Data'!7:7,0)+65)&amp;"10"),ROW()-5,0),"")</f>
        <v/>
      </c>
      <c r="H9" s="16">
        <f ca="1">IFERROR(HLOOKUP(H$5,INDIRECT("'Imported Data'!c7:"&amp;CHAR(MATCH("Total",'Imported Data'!7:7,0)+65)&amp;"10"),ROW()-5,0),"")</f>
        <v>0</v>
      </c>
      <c r="I9" s="16" t="str">
        <f ca="1">IFERROR(HLOOKUP(I$5,INDIRECT("'Imported Data'!"&amp;CHAR(MATCH("Total",'Imported Data'!7:7,0)+65)&amp;"7:"&amp;"P10"),ROW()-5,0),"")</f>
        <v/>
      </c>
      <c r="J9" s="16" t="str">
        <f ca="1">IFERROR(HLOOKUP(J$5,INDIRECT("'Imported Data'!"&amp;CHAR(MATCH("Total",'Imported Data'!7:7,0)+65)&amp;"7:"&amp;"P10"),ROW()-5,0),"")</f>
        <v/>
      </c>
      <c r="K9" s="16" t="str">
        <f ca="1">IFERROR(HLOOKUP(K$5,INDIRECT("'Imported Data'!"&amp;CHAR(MATCH("Total",'Imported Data'!7:7,0)+65)&amp;"7:"&amp;"P10"),ROW()-5,0),"")</f>
        <v/>
      </c>
      <c r="L9" s="16" t="str">
        <f ca="1">IFERROR(HLOOKUP(L$5,INDIRECT("'Imported Data'!"&amp;CHAR(MATCH("Total",'Imported Data'!7:7,0)+65)&amp;"7:"&amp;"P10"),ROW()-5,0),"")</f>
        <v/>
      </c>
      <c r="M9" s="16" t="str">
        <f ca="1">IFERROR(HLOOKUP(M$5,INDIRECT("'Imported Data'!"&amp;CHAR(MATCH("Total",'Imported Data'!7:7,0)+65)&amp;"7:"&amp;"P10"),ROW()-5,0),"")</f>
        <v/>
      </c>
      <c r="N9" s="16" t="str">
        <f ca="1">IFERROR(HLOOKUP(N$5,INDIRECT("'Imported Data'!"&amp;CHAR(MATCH("Total",'Imported Data'!7:7,0)+65)&amp;"7:"&amp;"P10"),ROW()-5,0),"")</f>
        <v/>
      </c>
      <c r="O9" s="16" t="str">
        <f t="shared" ca="1" si="15"/>
        <v/>
      </c>
      <c r="Q9" s="127"/>
      <c r="R9" s="45" t="s">
        <v>31</v>
      </c>
      <c r="S9" s="42" t="e">
        <f>VLOOKUP($Q$7,'[1]Production Details by Shift (2)'!$A$5:'[1]Production Details by Shift (2)'!$MJ$36,SUM(165+1+30),0)</f>
        <v>#REF!</v>
      </c>
      <c r="T9" s="43" t="e">
        <f>VLOOKUP($Q$7,'[1]Production Details by Shift (2)'!$A$5:'[1]Production Details by Shift (2)'!$MJ$36,SUM(165+2+30),0)+VLOOKUP($Q$7,'[1]Production Details by Shift (2)'!$A$5:'[1]Production Details by Shift (2)'!$MJ$36,SUM(165+3+30),0)</f>
        <v>#REF!</v>
      </c>
      <c r="U9" s="42" t="e">
        <f>VLOOKUP($Q$7,'[1]Production Details by Shift (2)'!$A$5:'[1]Production Details by Shift (2)'!$MJ$36,SUM(165+0+30),0)</f>
        <v>#REF!</v>
      </c>
      <c r="V9" s="42" t="e">
        <f>VLOOKUP($Q$7,'[1]Production Details by Shift (2)'!$A$5:'[1]Production Details by Shift (2)'!$MJ$36,SUM(165+4+30),0)</f>
        <v>#REF!</v>
      </c>
      <c r="W9" s="43" t="e">
        <f>VLOOKUP($Q$7,'[1]Production Details by Shift (2)'!$A$5:'[1]Production Details by Shift (2)'!$MJ$36,SUM(165+5+30),0)+VLOOKUP($Q$7,'[1]Production Details by Shift (2)'!$A$5:'[1]Production Details by Shift (2)'!$MJ$36,SUM(165+6+30),0)</f>
        <v>#REF!</v>
      </c>
      <c r="X9" s="44" t="e">
        <f t="shared" si="16"/>
        <v>#REF!</v>
      </c>
      <c r="Y9" s="42" t="e">
        <f>VLOOKUP($Q$7,'[1]Production Details by Shift (2)'!$A$5:'[1]Production Details by Shift (2)'!$MJ$36,SUM(211+1+30),0)</f>
        <v>#REF!</v>
      </c>
      <c r="Z9" s="43" t="e">
        <f>VLOOKUP($Q$7,'[1]Production Details by Shift (2)'!$A$5:'[1]Production Details by Shift (2)'!$MJ$36,SUM(211+2+30),0)+VLOOKUP($Q$7,'[1]Production Details by Shift (2)'!$A$5:'[1]Production Details by Shift (2)'!$MJ$36,SUM(211+3+30),0)</f>
        <v>#REF!</v>
      </c>
      <c r="AA9" s="42" t="e">
        <f>VLOOKUP($Q$7,'[1]Production Details by Shift (2)'!$A$5:'[1]Production Details by Shift (2)'!$MJ$36,SUM(211+0+30),0)</f>
        <v>#REF!</v>
      </c>
      <c r="AB9" s="42" t="e">
        <f>VLOOKUP($Q$7,'[1]Production Details by Shift (2)'!$A$5:'[1]Production Details by Shift (2)'!$MJ$36,SUM(211+4+30),0)</f>
        <v>#REF!</v>
      </c>
      <c r="AC9" s="43" t="e">
        <f>VLOOKUP($Q$7,'[1]Production Details by Shift (2)'!$A$5:'[1]Production Details by Shift (2)'!$MJ$36,SUM(211+5+30),0)+VLOOKUP($Q$7,'[1]Production Details by Shift (2)'!$A$5:'[1]Production Details by Shift (2)'!$MJ$36,SUM(211+6+30),0)</f>
        <v>#REF!</v>
      </c>
      <c r="AD9" s="51" t="e">
        <f t="shared" si="17"/>
        <v>#REF!</v>
      </c>
      <c r="AE9" s="52" t="str">
        <f t="shared" si="18"/>
        <v/>
      </c>
      <c r="AG9" s="54" t="e">
        <f t="shared" ca="1" si="19"/>
        <v>#REF!</v>
      </c>
      <c r="AH9" s="54" t="e">
        <f t="shared" ca="1" si="20"/>
        <v>#REF!</v>
      </c>
      <c r="AI9" s="54" t="e">
        <f t="shared" ca="1" si="21"/>
        <v>#REF!</v>
      </c>
      <c r="AJ9" s="54" t="e">
        <f t="shared" ca="1" si="22"/>
        <v>#REF!</v>
      </c>
      <c r="AK9" s="54" t="e">
        <f t="shared" ca="1" si="23"/>
        <v>#REF!</v>
      </c>
      <c r="AL9" s="54" t="e">
        <f t="shared" ca="1" si="24"/>
        <v>#REF!</v>
      </c>
      <c r="AM9" s="54" t="e">
        <f t="shared" ca="1" si="25"/>
        <v>#REF!</v>
      </c>
      <c r="AN9" s="54" t="e">
        <f t="shared" ca="1" si="26"/>
        <v>#REF!</v>
      </c>
      <c r="AO9" s="54" t="e">
        <f t="shared" ca="1" si="27"/>
        <v>#REF!</v>
      </c>
      <c r="AP9" s="54" t="e">
        <f t="shared" ca="1" si="28"/>
        <v>#REF!</v>
      </c>
      <c r="AQ9" s="54" t="e">
        <f t="shared" ca="1" si="29"/>
        <v>#REF!</v>
      </c>
      <c r="AR9" s="54" t="e">
        <f t="shared" ca="1" si="30"/>
        <v>#REF!</v>
      </c>
      <c r="AS9" s="54" t="b">
        <f t="shared" ca="1" si="31"/>
        <v>1</v>
      </c>
    </row>
    <row r="10" spans="1:63" ht="18.75">
      <c r="A10" s="31" t="s">
        <v>8</v>
      </c>
      <c r="B10" s="31"/>
      <c r="C10" s="16">
        <f ca="1">SUM(C7:C9)</f>
        <v>0</v>
      </c>
      <c r="D10" s="16">
        <f t="shared" ref="D10:O10" ca="1" si="32">SUM(D7:D9)</f>
        <v>0</v>
      </c>
      <c r="E10" s="16">
        <f t="shared" ca="1" si="32"/>
        <v>2400</v>
      </c>
      <c r="F10" s="16">
        <f t="shared" ca="1" si="32"/>
        <v>200</v>
      </c>
      <c r="G10" s="16">
        <f t="shared" ca="1" si="32"/>
        <v>0</v>
      </c>
      <c r="H10" s="16">
        <f t="shared" ca="1" si="32"/>
        <v>2600</v>
      </c>
      <c r="I10" s="16">
        <f t="shared" ca="1" si="32"/>
        <v>0</v>
      </c>
      <c r="J10" s="16">
        <f t="shared" ca="1" si="32"/>
        <v>0</v>
      </c>
      <c r="K10" s="16">
        <f t="shared" ca="1" si="32"/>
        <v>0</v>
      </c>
      <c r="L10" s="16">
        <f t="shared" ca="1" si="32"/>
        <v>0</v>
      </c>
      <c r="M10" s="16">
        <f t="shared" ca="1" si="32"/>
        <v>0</v>
      </c>
      <c r="N10" s="16">
        <f t="shared" ca="1" si="32"/>
        <v>0</v>
      </c>
      <c r="O10" s="16">
        <f t="shared" ca="1" si="32"/>
        <v>0</v>
      </c>
      <c r="Q10" s="46" t="s">
        <v>8</v>
      </c>
      <c r="R10" s="46"/>
      <c r="S10" s="47" t="e">
        <f>SUM(S7:S9)</f>
        <v>#REF!</v>
      </c>
      <c r="T10" s="47" t="e">
        <f t="shared" ref="T10:AE10" si="33">SUM(T7:T9)</f>
        <v>#REF!</v>
      </c>
      <c r="U10" s="47" t="e">
        <f t="shared" si="33"/>
        <v>#REF!</v>
      </c>
      <c r="V10" s="47" t="e">
        <f t="shared" si="33"/>
        <v>#REF!</v>
      </c>
      <c r="W10" s="47" t="e">
        <f t="shared" si="33"/>
        <v>#REF!</v>
      </c>
      <c r="X10" s="48" t="e">
        <f t="shared" si="33"/>
        <v>#REF!</v>
      </c>
      <c r="Y10" s="47" t="e">
        <f t="shared" si="33"/>
        <v>#REF!</v>
      </c>
      <c r="Z10" s="47" t="e">
        <f t="shared" si="33"/>
        <v>#REF!</v>
      </c>
      <c r="AA10" s="47" t="e">
        <f t="shared" si="33"/>
        <v>#REF!</v>
      </c>
      <c r="AB10" s="47" t="e">
        <f t="shared" si="33"/>
        <v>#REF!</v>
      </c>
      <c r="AC10" s="47" t="e">
        <f t="shared" si="33"/>
        <v>#REF!</v>
      </c>
      <c r="AD10" s="53" t="e">
        <f t="shared" si="33"/>
        <v>#REF!</v>
      </c>
      <c r="AE10" s="47">
        <f t="shared" si="33"/>
        <v>0</v>
      </c>
      <c r="AG10" s="54" t="e">
        <f t="shared" ca="1" si="19"/>
        <v>#REF!</v>
      </c>
      <c r="AH10" s="54" t="e">
        <f t="shared" ca="1" si="20"/>
        <v>#REF!</v>
      </c>
      <c r="AI10" s="54" t="e">
        <f t="shared" ca="1" si="21"/>
        <v>#REF!</v>
      </c>
      <c r="AJ10" s="54" t="e">
        <f t="shared" ca="1" si="22"/>
        <v>#REF!</v>
      </c>
      <c r="AK10" s="54" t="e">
        <f t="shared" ca="1" si="23"/>
        <v>#REF!</v>
      </c>
      <c r="AL10" s="54" t="e">
        <f t="shared" ca="1" si="24"/>
        <v>#REF!</v>
      </c>
      <c r="AM10" s="54" t="e">
        <f t="shared" ca="1" si="25"/>
        <v>#REF!</v>
      </c>
      <c r="AN10" s="54" t="e">
        <f t="shared" ca="1" si="26"/>
        <v>#REF!</v>
      </c>
      <c r="AO10" s="54" t="e">
        <f t="shared" ca="1" si="27"/>
        <v>#REF!</v>
      </c>
      <c r="AP10" s="54" t="e">
        <f t="shared" ca="1" si="28"/>
        <v>#REF!</v>
      </c>
      <c r="AQ10" s="54" t="e">
        <f t="shared" ca="1" si="29"/>
        <v>#REF!</v>
      </c>
      <c r="AR10" s="54" t="e">
        <f t="shared" ca="1" si="30"/>
        <v>#REF!</v>
      </c>
      <c r="AS10" s="54" t="b">
        <f t="shared" ca="1" si="31"/>
        <v>1</v>
      </c>
    </row>
    <row r="12" spans="1:63" ht="18.75">
      <c r="A12" s="21" t="s">
        <v>32</v>
      </c>
      <c r="R12" s="49"/>
    </row>
    <row r="13" spans="1:63" ht="15.75" customHeight="1">
      <c r="A13" s="22" t="s">
        <v>5</v>
      </c>
      <c r="B13" s="23" t="s">
        <v>6</v>
      </c>
      <c r="C13" s="139" t="s">
        <v>7</v>
      </c>
      <c r="D13" s="140"/>
      <c r="E13" s="140"/>
      <c r="F13" s="140"/>
      <c r="G13" s="140"/>
      <c r="H13" s="141"/>
      <c r="I13" s="142" t="s">
        <v>26</v>
      </c>
      <c r="J13" s="143"/>
      <c r="K13" s="143"/>
      <c r="L13" s="143"/>
      <c r="M13" s="143"/>
      <c r="N13" s="144"/>
      <c r="O13" s="22" t="s">
        <v>8</v>
      </c>
      <c r="Q13" s="22" t="s">
        <v>5</v>
      </c>
      <c r="R13" s="23" t="s">
        <v>6</v>
      </c>
      <c r="S13" s="139" t="s">
        <v>7</v>
      </c>
      <c r="T13" s="140"/>
      <c r="U13" s="140"/>
      <c r="V13" s="140"/>
      <c r="W13" s="140"/>
      <c r="X13" s="141"/>
      <c r="Y13" s="142" t="s">
        <v>26</v>
      </c>
      <c r="Z13" s="143"/>
      <c r="AA13" s="143"/>
      <c r="AB13" s="143"/>
      <c r="AC13" s="143"/>
      <c r="AD13" s="144"/>
      <c r="AE13" s="129" t="s">
        <v>8</v>
      </c>
      <c r="AW13" s="12" t="s">
        <v>33</v>
      </c>
      <c r="AX13" s="12" t="s">
        <v>33</v>
      </c>
      <c r="AY13" s="12" t="str">
        <f>AY16&amp;COUNTIF($AY$16:AY16,AY16)</f>
        <v>51</v>
      </c>
      <c r="AZ13" s="12" t="str">
        <f>AZ16&amp;COUNTIF($AY$16:AZ16,AZ16)</f>
        <v>52</v>
      </c>
      <c r="BA13" s="12" t="str">
        <f>BA16&amp;COUNTIF($AY$16:BA16,BA16)</f>
        <v>01</v>
      </c>
      <c r="BB13" s="12" t="str">
        <f>BB16&amp;COUNTIF($AY$16:BB16,BB16)</f>
        <v>02</v>
      </c>
      <c r="BC13" s="12" t="str">
        <f>BC16&amp;COUNTIF($AY$16:BC16,BC16)</f>
        <v>03</v>
      </c>
      <c r="BD13" s="12" t="str">
        <f>BD16&amp;COUNTIF($AY$16:BD16,BD16)</f>
        <v>04</v>
      </c>
      <c r="BE13" s="12" t="str">
        <f>BE16&amp;COUNTIF($AY$16:BE16,BE16)</f>
        <v>05</v>
      </c>
      <c r="BF13" s="12" t="str">
        <f>BF16&amp;COUNTIF($AY$16:BF16,BF16)</f>
        <v>06</v>
      </c>
      <c r="BG13" s="12" t="str">
        <f>BG16&amp;COUNTIF($AY$16:BG16,BG16)</f>
        <v>07</v>
      </c>
      <c r="BH13" s="12" t="str">
        <f>BH16&amp;COUNTIF($AY$16:BH16,BH16)</f>
        <v>08</v>
      </c>
      <c r="BI13" s="12" t="str">
        <f>BI16&amp;COUNTIF($AY$16:BI16,BI16)</f>
        <v>09</v>
      </c>
      <c r="BJ13" s="12" t="str">
        <f>BJ16&amp;COUNTIF($AY$16:BJ16,BJ16)</f>
        <v>010</v>
      </c>
      <c r="BK13" s="12" t="str">
        <f>BK16&amp;COUNTIF($AY$16:BK16,BK16)</f>
        <v>011</v>
      </c>
    </row>
    <row r="14" spans="1:63" ht="94.5" hidden="1">
      <c r="A14" s="24"/>
      <c r="B14" s="32"/>
      <c r="C14" s="33" t="s">
        <v>27</v>
      </c>
      <c r="D14" s="33" t="s">
        <v>28</v>
      </c>
      <c r="E14" s="33" t="s">
        <v>9</v>
      </c>
      <c r="F14" s="33" t="s">
        <v>10</v>
      </c>
      <c r="G14" s="33" t="s">
        <v>29</v>
      </c>
      <c r="H14" s="34" t="s">
        <v>8</v>
      </c>
      <c r="I14" s="38" t="s">
        <v>27</v>
      </c>
      <c r="J14" s="38" t="s">
        <v>28</v>
      </c>
      <c r="K14" s="38" t="s">
        <v>9</v>
      </c>
      <c r="L14" s="38" t="s">
        <v>10</v>
      </c>
      <c r="M14" s="38" t="s">
        <v>29</v>
      </c>
      <c r="N14" s="39" t="s">
        <v>8</v>
      </c>
      <c r="O14" s="28"/>
      <c r="Q14" s="24"/>
      <c r="R14" s="32"/>
      <c r="S14" s="33" t="s">
        <v>27</v>
      </c>
      <c r="T14" s="33" t="s">
        <v>28</v>
      </c>
      <c r="U14" s="33" t="s">
        <v>9</v>
      </c>
      <c r="V14" s="33" t="s">
        <v>10</v>
      </c>
      <c r="W14" s="33" t="s">
        <v>29</v>
      </c>
      <c r="X14" s="34" t="s">
        <v>8</v>
      </c>
      <c r="Y14" s="38" t="s">
        <v>27</v>
      </c>
      <c r="Z14" s="38" t="s">
        <v>28</v>
      </c>
      <c r="AA14" s="38" t="s">
        <v>9</v>
      </c>
      <c r="AB14" s="38" t="s">
        <v>10</v>
      </c>
      <c r="AC14" s="38" t="s">
        <v>29</v>
      </c>
      <c r="AD14" s="39" t="s">
        <v>8</v>
      </c>
      <c r="AE14" s="130"/>
      <c r="AW14" s="12">
        <f>'Imported Data'!A13</f>
        <v>0</v>
      </c>
      <c r="AX14" s="12">
        <f>'Imported Data'!B13</f>
        <v>0</v>
      </c>
      <c r="AY14" s="12" t="str">
        <f>'Imported Data'!C13</f>
        <v>BUSTING BAG CEMENT</v>
      </c>
      <c r="AZ14" s="12">
        <f>'Imported Data'!D13</f>
        <v>0</v>
      </c>
      <c r="BA14" s="12">
        <f>'Imported Data'!E13</f>
        <v>0</v>
      </c>
      <c r="BB14" s="12">
        <f>'Imported Data'!F13</f>
        <v>0</v>
      </c>
      <c r="BC14" s="12">
        <f>'Imported Data'!G13</f>
        <v>0</v>
      </c>
      <c r="BD14" s="12">
        <f>'Imported Data'!H13</f>
        <v>0</v>
      </c>
      <c r="BE14" s="12">
        <f>'Imported Data'!I13</f>
        <v>0</v>
      </c>
      <c r="BF14" s="12">
        <f>'Imported Data'!J13</f>
        <v>0</v>
      </c>
      <c r="BG14" s="12">
        <f>'Imported Data'!K13</f>
        <v>0</v>
      </c>
      <c r="BH14" s="12">
        <f>'Imported Data'!L13</f>
        <v>0</v>
      </c>
      <c r="BI14" s="12">
        <f>'Imported Data'!M13</f>
        <v>0</v>
      </c>
      <c r="BJ14" s="12">
        <f>'Imported Data'!N13</f>
        <v>0</v>
      </c>
      <c r="BK14" s="12">
        <f>'Imported Data'!O13</f>
        <v>0</v>
      </c>
    </row>
    <row r="15" spans="1:63" ht="31.5">
      <c r="A15" s="28"/>
      <c r="B15" s="25"/>
      <c r="C15" s="26" t="s">
        <v>20</v>
      </c>
      <c r="D15" s="26" t="s">
        <v>21</v>
      </c>
      <c r="E15" s="26" t="s">
        <v>19</v>
      </c>
      <c r="F15" s="26" t="s">
        <v>23</v>
      </c>
      <c r="G15" s="26" t="s">
        <v>24</v>
      </c>
      <c r="H15" s="27" t="s">
        <v>8</v>
      </c>
      <c r="I15" s="35" t="str">
        <f>C15</f>
        <v>AM (2 Ply)</v>
      </c>
      <c r="J15" s="35" t="str">
        <f t="shared" ref="J15" si="34">D15</f>
        <v>AM (1 PLY )</v>
      </c>
      <c r="K15" s="35" t="str">
        <f t="shared" ref="K15" si="35">E15</f>
        <v>BM (2 PLY)</v>
      </c>
      <c r="L15" s="35" t="str">
        <f t="shared" ref="L15" si="36">F15</f>
        <v>Gold (2 PLY)</v>
      </c>
      <c r="M15" s="35" t="str">
        <f t="shared" ref="M15:N15" si="37">G15</f>
        <v>Gold (1 PLY)</v>
      </c>
      <c r="N15" s="36" t="str">
        <f t="shared" si="37"/>
        <v>Total</v>
      </c>
      <c r="O15" s="37" t="str">
        <f>N15</f>
        <v>Total</v>
      </c>
      <c r="Q15" s="28"/>
      <c r="R15" s="25"/>
      <c r="S15" s="26" t="str">
        <f>C15</f>
        <v>AM (2 Ply)</v>
      </c>
      <c r="T15" s="26" t="str">
        <f t="shared" ref="T15" si="38">D15</f>
        <v>AM (1 PLY )</v>
      </c>
      <c r="U15" s="26" t="str">
        <f t="shared" ref="U15" si="39">E15</f>
        <v>BM (2 PLY)</v>
      </c>
      <c r="V15" s="26" t="str">
        <f t="shared" ref="V15" si="40">F15</f>
        <v>Gold (2 PLY)</v>
      </c>
      <c r="W15" s="26" t="str">
        <f t="shared" ref="W15" si="41">G15</f>
        <v>Gold (1 PLY)</v>
      </c>
      <c r="X15" s="27" t="str">
        <f t="shared" ref="X15" si="42">H15</f>
        <v>Total</v>
      </c>
      <c r="Y15" s="35" t="str">
        <f t="shared" ref="Y15" si="43">I15</f>
        <v>AM (2 Ply)</v>
      </c>
      <c r="Z15" s="35" t="str">
        <f t="shared" ref="Z15" si="44">J15</f>
        <v>AM (1 PLY )</v>
      </c>
      <c r="AA15" s="35" t="str">
        <f t="shared" ref="AA15" si="45">K15</f>
        <v>BM (2 PLY)</v>
      </c>
      <c r="AB15" s="35" t="str">
        <f t="shared" ref="AB15" si="46">L15</f>
        <v>Gold (2 PLY)</v>
      </c>
      <c r="AC15" s="35" t="str">
        <f t="shared" ref="AC15" si="47">M15</f>
        <v>Gold (1 PLY)</v>
      </c>
      <c r="AD15" s="36" t="str">
        <f t="shared" ref="AD15" si="48">N15</f>
        <v>Total</v>
      </c>
      <c r="AE15" s="50" t="str">
        <f t="shared" ref="AE15" si="49">O15</f>
        <v>Total</v>
      </c>
    </row>
    <row r="16" spans="1:63" ht="15.75">
      <c r="A16" s="122" t="str">
        <f>A7</f>
        <v>06-OCT-23</v>
      </c>
      <c r="B16" s="29" t="s">
        <v>11</v>
      </c>
      <c r="C16" s="16" t="str">
        <f t="shared" ref="C16:G18" si="50">IFERROR(HLOOKUP(C$14&amp;1,BurstingOracleDB,ROW()-10,0),"")</f>
        <v/>
      </c>
      <c r="D16" s="16" t="str">
        <f t="shared" si="50"/>
        <v/>
      </c>
      <c r="E16" s="16" t="str">
        <f t="shared" si="50"/>
        <v/>
      </c>
      <c r="F16" s="16" t="str">
        <f t="shared" si="50"/>
        <v/>
      </c>
      <c r="G16" s="16" t="str">
        <f t="shared" si="50"/>
        <v/>
      </c>
      <c r="H16" s="16">
        <f>SUM(C16:G16)</f>
        <v>0</v>
      </c>
      <c r="I16" s="16" t="str">
        <f t="shared" ref="I16:M18" si="51">IFERROR(HLOOKUP(I$14&amp;2,BurstingOracleDB,ROW()-10,0),"")</f>
        <v/>
      </c>
      <c r="J16" s="16" t="str">
        <f t="shared" si="51"/>
        <v/>
      </c>
      <c r="K16" s="16" t="str">
        <f t="shared" si="51"/>
        <v/>
      </c>
      <c r="L16" s="16" t="str">
        <f t="shared" si="51"/>
        <v/>
      </c>
      <c r="M16" s="16" t="str">
        <f t="shared" si="51"/>
        <v/>
      </c>
      <c r="N16" s="16">
        <f>SUM(I16:M16)</f>
        <v>0</v>
      </c>
      <c r="O16" s="16">
        <f>IFERROR(H16+N16,"")</f>
        <v>0</v>
      </c>
      <c r="Q16" s="125">
        <f>A16+0</f>
        <v>45205</v>
      </c>
      <c r="R16" s="41" t="s">
        <v>11</v>
      </c>
      <c r="S16" s="42" t="e">
        <f>VLOOKUP($Q$7,'[1]Production Details by Shift (2)'!$A$5:'[1]Production Details by Shift (2)'!$MJ$36,SUM(257+1+0),0)</f>
        <v>#REF!</v>
      </c>
      <c r="T16" s="43" t="e">
        <f>VLOOKUP($Q$7,'[1]Production Details by Shift (2)'!$A$5:'[1]Production Details by Shift (2)'!$MJ$36,SUM(257+2+0),0)+VLOOKUP($Q$7,'[1]Production Details by Shift (2)'!$A$5:'[1]Production Details by Shift (2)'!$MJ$36,SUM(257+3+0),0)</f>
        <v>#REF!</v>
      </c>
      <c r="U16" s="42" t="e">
        <f>VLOOKUP($Q$7,'[1]Production Details by Shift (2)'!$A$5:'[1]Production Details by Shift (2)'!$MJ$36,SUM(257+0+0),0)</f>
        <v>#REF!</v>
      </c>
      <c r="V16" s="42" t="e">
        <f>VLOOKUP($Q$7,'[1]Production Details by Shift (2)'!$A$5:'[1]Production Details by Shift (2)'!$MJ$36,SUM(257+4+0),0)</f>
        <v>#REF!</v>
      </c>
      <c r="W16" s="43" t="e">
        <f>VLOOKUP($Q$7,'[1]Production Details by Shift (2)'!$A$5:'[1]Production Details by Shift (2)'!$MJ$36,SUM(257+5+0),0)+VLOOKUP($Q$7,'[1]Production Details by Shift (2)'!$A$5:'[1]Production Details by Shift (2)'!$MJ$36,SUM(257+6+0),0)</f>
        <v>#REF!</v>
      </c>
      <c r="X16" s="44" t="e">
        <f>SUM(S16:W16)</f>
        <v>#REF!</v>
      </c>
      <c r="Y16" s="42" t="e">
        <f>VLOOKUP($Q$7,'[1]Production Details by Shift (2)'!$A$5:'[1]Production Details by Shift (2)'!$MJ$36,SUM(303+1+0),0)</f>
        <v>#REF!</v>
      </c>
      <c r="Z16" s="43" t="e">
        <f>VLOOKUP($Q$7,'[1]Production Details by Shift (2)'!$A$5:'[1]Production Details by Shift (2)'!$MJ$36,SUM(303+2+0),0)+VLOOKUP($Q$7,'[1]Production Details by Shift (2)'!$A$5:'[1]Production Details by Shift (2)'!$MJ$36,SUM(303+3+0),0)</f>
        <v>#REF!</v>
      </c>
      <c r="AA16" s="42" t="e">
        <f>VLOOKUP($Q$7,'[1]Production Details by Shift (2)'!$A$5:'[1]Production Details by Shift (2)'!$MJ$36,SUM(303+0+0),0)</f>
        <v>#REF!</v>
      </c>
      <c r="AB16" s="42" t="e">
        <f>VLOOKUP($Q$7,'[1]Production Details by Shift (2)'!$A$5:'[1]Production Details by Shift (2)'!$MJ$36,SUM(303+4+0),0)</f>
        <v>#REF!</v>
      </c>
      <c r="AC16" s="43" t="e">
        <f>VLOOKUP($Q$7,'[1]Production Details by Shift (2)'!$A$5:'[1]Production Details by Shift (2)'!$MJ$36,SUM(303+5+0),0)+VLOOKUP($Q$7,'[1]Production Details by Shift (2)'!$A$5:'[1]Production Details by Shift (2)'!$MJ$36,SUM(303+6+0),0)</f>
        <v>#REF!</v>
      </c>
      <c r="AD16" s="51" t="e">
        <f>SUM(Y16:AC16)</f>
        <v>#REF!</v>
      </c>
      <c r="AE16" s="52" t="str">
        <f>IFERROR(X16+AD16,"")</f>
        <v/>
      </c>
      <c r="AG16" s="54" t="e">
        <f>IF(EXACT(C16,S16)=TRUE,TRUE,"")</f>
        <v>#REF!</v>
      </c>
      <c r="AH16" s="54" t="e">
        <f t="shared" ref="AH16:AH19" si="52">IF(EXACT(D16,T16)=TRUE,TRUE,"")</f>
        <v>#REF!</v>
      </c>
      <c r="AI16" s="54" t="e">
        <f t="shared" ref="AI16:AI19" si="53">IF(EXACT(E16,U16)=TRUE,TRUE,"")</f>
        <v>#REF!</v>
      </c>
      <c r="AJ16" s="54" t="e">
        <f t="shared" ref="AJ16:AJ19" si="54">IF(EXACT(F16,V16)=TRUE,TRUE,"")</f>
        <v>#REF!</v>
      </c>
      <c r="AK16" s="54" t="e">
        <f t="shared" ref="AK16:AK19" si="55">IF(EXACT(G16,W16)=TRUE,TRUE,"")</f>
        <v>#REF!</v>
      </c>
      <c r="AL16" s="54" t="e">
        <f t="shared" ref="AL16:AL19" si="56">IF(EXACT(H16,X16)=TRUE,TRUE,"")</f>
        <v>#REF!</v>
      </c>
      <c r="AM16" s="54" t="e">
        <f t="shared" ref="AM16:AM19" si="57">IF(EXACT(I16,Y16)=TRUE,TRUE,"")</f>
        <v>#REF!</v>
      </c>
      <c r="AN16" s="54" t="e">
        <f t="shared" ref="AN16:AN19" si="58">IF(EXACT(J16,Z16)=TRUE,TRUE,"")</f>
        <v>#REF!</v>
      </c>
      <c r="AO16" s="54" t="e">
        <f t="shared" ref="AO16:AO19" si="59">IF(EXACT(K16,AA16)=TRUE,TRUE,"")</f>
        <v>#REF!</v>
      </c>
      <c r="AP16" s="54" t="e">
        <f t="shared" ref="AP16:AP19" si="60">IF(EXACT(L16,AB16)=TRUE,TRUE,"")</f>
        <v>#REF!</v>
      </c>
      <c r="AQ16" s="54" t="e">
        <f t="shared" ref="AQ16:AQ19" si="61">IF(EXACT(M16,AC16)=TRUE,TRUE,"")</f>
        <v>#REF!</v>
      </c>
      <c r="AR16" s="54" t="e">
        <f t="shared" ref="AR16:AR19" si="62">IF(EXACT(N16,AD16)=TRUE,TRUE,"")</f>
        <v>#REF!</v>
      </c>
      <c r="AS16" s="54" t="str">
        <f t="shared" ref="AS16:AS19" si="63">IF(EXACT(O16,AE16)=TRUE,TRUE,"")</f>
        <v/>
      </c>
      <c r="AW16" s="12">
        <f>'Imported Data'!A14</f>
        <v>45205</v>
      </c>
      <c r="AX16" s="12" t="str">
        <f>'Imported Data'!B14</f>
        <v>A</v>
      </c>
      <c r="AY16" s="12">
        <f>'Imported Data'!C14</f>
        <v>5</v>
      </c>
      <c r="AZ16" s="12">
        <f>'Imported Data'!D14</f>
        <v>5</v>
      </c>
      <c r="BA16" s="12">
        <f>'Imported Data'!E14</f>
        <v>0</v>
      </c>
      <c r="BB16" s="12">
        <f>'Imported Data'!F14</f>
        <v>0</v>
      </c>
      <c r="BC16" s="12">
        <f>'Imported Data'!G14</f>
        <v>0</v>
      </c>
      <c r="BD16" s="12">
        <f>'Imported Data'!H14</f>
        <v>0</v>
      </c>
      <c r="BE16" s="12">
        <f>'Imported Data'!I14</f>
        <v>0</v>
      </c>
      <c r="BF16" s="12">
        <f>'Imported Data'!J14</f>
        <v>0</v>
      </c>
      <c r="BG16" s="12">
        <f>'Imported Data'!K14</f>
        <v>0</v>
      </c>
      <c r="BH16" s="12">
        <f>'Imported Data'!L14</f>
        <v>0</v>
      </c>
      <c r="BI16" s="12">
        <f>'Imported Data'!M14</f>
        <v>0</v>
      </c>
      <c r="BJ16" s="12">
        <f>'Imported Data'!N14</f>
        <v>0</v>
      </c>
      <c r="BK16" s="12">
        <f>'Imported Data'!O14</f>
        <v>0</v>
      </c>
    </row>
    <row r="17" spans="1:63" ht="15.75">
      <c r="A17" s="123"/>
      <c r="B17" s="29" t="s">
        <v>30</v>
      </c>
      <c r="C17" s="16" t="str">
        <f t="shared" si="50"/>
        <v/>
      </c>
      <c r="D17" s="16" t="str">
        <f t="shared" si="50"/>
        <v/>
      </c>
      <c r="E17" s="16" t="str">
        <f t="shared" si="50"/>
        <v/>
      </c>
      <c r="F17" s="16" t="str">
        <f t="shared" si="50"/>
        <v/>
      </c>
      <c r="G17" s="16" t="str">
        <f t="shared" si="50"/>
        <v/>
      </c>
      <c r="H17" s="16">
        <f t="shared" ref="H17:H18" si="64">SUM(C17:G17)</f>
        <v>0</v>
      </c>
      <c r="I17" s="16" t="str">
        <f t="shared" si="51"/>
        <v/>
      </c>
      <c r="J17" s="16" t="str">
        <f t="shared" si="51"/>
        <v/>
      </c>
      <c r="K17" s="16" t="str">
        <f t="shared" si="51"/>
        <v/>
      </c>
      <c r="L17" s="16" t="str">
        <f t="shared" si="51"/>
        <v/>
      </c>
      <c r="M17" s="16" t="str">
        <f t="shared" si="51"/>
        <v/>
      </c>
      <c r="N17" s="16">
        <f t="shared" ref="N17:N18" si="65">SUM(I17:M17)</f>
        <v>0</v>
      </c>
      <c r="O17" s="16">
        <f t="shared" ref="O17:O18" si="66">IFERROR(H17+N17,"")</f>
        <v>0</v>
      </c>
      <c r="Q17" s="126"/>
      <c r="R17" s="41" t="s">
        <v>30</v>
      </c>
      <c r="S17" s="42" t="e">
        <f>VLOOKUP($Q$7,'[1]Production Details by Shift (2)'!$A$5:'[1]Production Details by Shift (2)'!$MJ$36,SUM(257+1+15),0)</f>
        <v>#REF!</v>
      </c>
      <c r="T17" s="43" t="e">
        <f>VLOOKUP($Q$7,'[1]Production Details by Shift (2)'!$A$5:'[1]Production Details by Shift (2)'!$MJ$36,SUM(257+2+15),0)+VLOOKUP($Q$7,'[1]Production Details by Shift (2)'!$A$5:'[1]Production Details by Shift (2)'!$MJ$36,SUM(257+3+15),0)</f>
        <v>#REF!</v>
      </c>
      <c r="U17" s="42" t="e">
        <f>VLOOKUP($Q$7,'[1]Production Details by Shift (2)'!$A$5:'[1]Production Details by Shift (2)'!$MJ$36,SUM(257+0+15),0)</f>
        <v>#REF!</v>
      </c>
      <c r="V17" s="42" t="e">
        <f>VLOOKUP($Q$7,'[1]Production Details by Shift (2)'!$A$5:'[1]Production Details by Shift (2)'!$MJ$36,SUM(257+4+15),0)</f>
        <v>#REF!</v>
      </c>
      <c r="W17" s="43" t="e">
        <f>VLOOKUP($Q$7,'[1]Production Details by Shift (2)'!$A$5:'[1]Production Details by Shift (2)'!$MJ$36,SUM(257+5+15),0)+VLOOKUP($Q$7,'[1]Production Details by Shift (2)'!$A$5:'[1]Production Details by Shift (2)'!$MJ$36,SUM(257+6+15),0)</f>
        <v>#REF!</v>
      </c>
      <c r="X17" s="44" t="e">
        <f t="shared" ref="X17:X18" si="67">SUM(S17:W17)</f>
        <v>#REF!</v>
      </c>
      <c r="Y17" s="42" t="e">
        <f>VLOOKUP($Q$7,'[1]Production Details by Shift (2)'!$A$5:'[1]Production Details by Shift (2)'!$MJ$36,SUM(303+1+15),0)</f>
        <v>#REF!</v>
      </c>
      <c r="Z17" s="43" t="e">
        <f>VLOOKUP($Q$7,'[1]Production Details by Shift (2)'!$A$5:'[1]Production Details by Shift (2)'!$MJ$36,SUM(303+2+15),0)+VLOOKUP($Q$7,'[1]Production Details by Shift (2)'!$A$5:'[1]Production Details by Shift (2)'!$MJ$36,SUM(303+3+15),0)</f>
        <v>#REF!</v>
      </c>
      <c r="AA17" s="42" t="e">
        <f>VLOOKUP($Q$7,'[1]Production Details by Shift (2)'!$A$5:'[1]Production Details by Shift (2)'!$MJ$36,SUM(303+0+15),0)</f>
        <v>#REF!</v>
      </c>
      <c r="AB17" s="42" t="e">
        <f>VLOOKUP($Q$7,'[1]Production Details by Shift (2)'!$A$5:'[1]Production Details by Shift (2)'!$MJ$36,SUM(303+4+15),0)</f>
        <v>#REF!</v>
      </c>
      <c r="AC17" s="43" t="e">
        <f>VLOOKUP($Q$7,'[1]Production Details by Shift (2)'!$A$5:'[1]Production Details by Shift (2)'!$MJ$36,SUM(303+5+15),0)+VLOOKUP($Q$7,'[1]Production Details by Shift (2)'!$A$5:'[1]Production Details by Shift (2)'!$MJ$36,SUM(303+6+15),0)</f>
        <v>#REF!</v>
      </c>
      <c r="AD17" s="51" t="e">
        <f t="shared" ref="AD17:AD18" si="68">SUM(Y17:AC17)</f>
        <v>#REF!</v>
      </c>
      <c r="AE17" s="52" t="str">
        <f t="shared" ref="AE17:AE18" si="69">IFERROR(X17+AD17,"")</f>
        <v/>
      </c>
      <c r="AG17" s="54" t="e">
        <f t="shared" ref="AG17:AG19" si="70">IF(EXACT(C17,S17)=TRUE,TRUE,"")</f>
        <v>#REF!</v>
      </c>
      <c r="AH17" s="54" t="e">
        <f t="shared" si="52"/>
        <v>#REF!</v>
      </c>
      <c r="AI17" s="54" t="e">
        <f t="shared" si="53"/>
        <v>#REF!</v>
      </c>
      <c r="AJ17" s="54" t="e">
        <f t="shared" si="54"/>
        <v>#REF!</v>
      </c>
      <c r="AK17" s="54" t="e">
        <f t="shared" si="55"/>
        <v>#REF!</v>
      </c>
      <c r="AL17" s="54" t="e">
        <f t="shared" si="56"/>
        <v>#REF!</v>
      </c>
      <c r="AM17" s="54" t="e">
        <f t="shared" si="57"/>
        <v>#REF!</v>
      </c>
      <c r="AN17" s="54" t="e">
        <f t="shared" si="58"/>
        <v>#REF!</v>
      </c>
      <c r="AO17" s="54" t="e">
        <f t="shared" si="59"/>
        <v>#REF!</v>
      </c>
      <c r="AP17" s="54" t="e">
        <f t="shared" si="60"/>
        <v>#REF!</v>
      </c>
      <c r="AQ17" s="54" t="e">
        <f t="shared" si="61"/>
        <v>#REF!</v>
      </c>
      <c r="AR17" s="54" t="e">
        <f t="shared" si="62"/>
        <v>#REF!</v>
      </c>
      <c r="AS17" s="54" t="str">
        <f t="shared" si="63"/>
        <v/>
      </c>
      <c r="AW17" s="12" t="str">
        <f>'Imported Data'!A15</f>
        <v>Grand Total</v>
      </c>
      <c r="AX17" s="12">
        <f>'Imported Data'!B15</f>
        <v>0</v>
      </c>
      <c r="AY17" s="12">
        <f>'Imported Data'!C15</f>
        <v>5</v>
      </c>
      <c r="AZ17" s="12">
        <f>'Imported Data'!D15</f>
        <v>5</v>
      </c>
      <c r="BA17" s="12">
        <f>'Imported Data'!E15</f>
        <v>0</v>
      </c>
      <c r="BB17" s="12">
        <f>'Imported Data'!F15</f>
        <v>0</v>
      </c>
      <c r="BC17" s="12">
        <f>'Imported Data'!G15</f>
        <v>0</v>
      </c>
      <c r="BD17" s="12">
        <f>'Imported Data'!H15</f>
        <v>0</v>
      </c>
      <c r="BE17" s="12">
        <f>'Imported Data'!I15</f>
        <v>0</v>
      </c>
      <c r="BF17" s="12">
        <f>'Imported Data'!J15</f>
        <v>0</v>
      </c>
      <c r="BG17" s="12">
        <f>'Imported Data'!K15</f>
        <v>0</v>
      </c>
      <c r="BH17" s="12">
        <f>'Imported Data'!L15</f>
        <v>0</v>
      </c>
      <c r="BI17" s="12">
        <f>'Imported Data'!M15</f>
        <v>0</v>
      </c>
      <c r="BJ17" s="12">
        <f>'Imported Data'!N15</f>
        <v>0</v>
      </c>
      <c r="BK17" s="12">
        <f>'Imported Data'!O15</f>
        <v>0</v>
      </c>
    </row>
    <row r="18" spans="1:63" ht="15.75">
      <c r="A18" s="123"/>
      <c r="B18" s="30" t="s">
        <v>31</v>
      </c>
      <c r="C18" s="16" t="str">
        <f t="shared" si="50"/>
        <v/>
      </c>
      <c r="D18" s="16" t="str">
        <f t="shared" si="50"/>
        <v/>
      </c>
      <c r="E18" s="16" t="str">
        <f t="shared" si="50"/>
        <v/>
      </c>
      <c r="F18" s="16" t="str">
        <f t="shared" si="50"/>
        <v/>
      </c>
      <c r="G18" s="16" t="str">
        <f t="shared" si="50"/>
        <v/>
      </c>
      <c r="H18" s="16">
        <f t="shared" si="64"/>
        <v>0</v>
      </c>
      <c r="I18" s="16" t="str">
        <f t="shared" si="51"/>
        <v/>
      </c>
      <c r="J18" s="16" t="str">
        <f t="shared" si="51"/>
        <v/>
      </c>
      <c r="K18" s="16" t="str">
        <f t="shared" si="51"/>
        <v/>
      </c>
      <c r="L18" s="16" t="str">
        <f t="shared" si="51"/>
        <v/>
      </c>
      <c r="M18" s="16" t="str">
        <f t="shared" si="51"/>
        <v/>
      </c>
      <c r="N18" s="16">
        <f t="shared" si="65"/>
        <v>0</v>
      </c>
      <c r="O18" s="16">
        <f t="shared" si="66"/>
        <v>0</v>
      </c>
      <c r="Q18" s="126"/>
      <c r="R18" s="45" t="s">
        <v>31</v>
      </c>
      <c r="S18" s="42" t="e">
        <f>VLOOKUP($Q$7,'[1]Production Details by Shift (2)'!$A$5:'[1]Production Details by Shift (2)'!$MJ$36,SUM(257+1+30),0)</f>
        <v>#REF!</v>
      </c>
      <c r="T18" s="43" t="e">
        <f>VLOOKUP($Q$7,'[1]Production Details by Shift (2)'!$A$5:'[1]Production Details by Shift (2)'!$MJ$36,SUM(257+2+30),0)+VLOOKUP($Q$7,'[1]Production Details by Shift (2)'!$A$5:'[1]Production Details by Shift (2)'!$MJ$36,SUM(257+3+30),0)</f>
        <v>#REF!</v>
      </c>
      <c r="U18" s="42" t="e">
        <f>VLOOKUP($Q$7,'[1]Production Details by Shift (2)'!$A$5:'[1]Production Details by Shift (2)'!$MJ$36,SUM(257+0+30),0)</f>
        <v>#REF!</v>
      </c>
      <c r="V18" s="42" t="e">
        <f>VLOOKUP($Q$7,'[1]Production Details by Shift (2)'!$A$5:'[1]Production Details by Shift (2)'!$MJ$36,SUM(257+4+30),0)</f>
        <v>#REF!</v>
      </c>
      <c r="W18" s="43" t="e">
        <f>VLOOKUP($Q$7,'[1]Production Details by Shift (2)'!$A$5:'[1]Production Details by Shift (2)'!$MJ$36,SUM(257+5+30),0)+VLOOKUP($Q$7,'[1]Production Details by Shift (2)'!$A$5:'[1]Production Details by Shift (2)'!$MJ$36,SUM(257+6+30),0)</f>
        <v>#REF!</v>
      </c>
      <c r="X18" s="44" t="e">
        <f t="shared" si="67"/>
        <v>#REF!</v>
      </c>
      <c r="Y18" s="42" t="e">
        <f>VLOOKUP($Q$7,'[1]Production Details by Shift (2)'!$A$5:'[1]Production Details by Shift (2)'!$MJ$36,SUM(303+1+30),0)</f>
        <v>#REF!</v>
      </c>
      <c r="Z18" s="43" t="e">
        <f>VLOOKUP($Q$7,'[1]Production Details by Shift (2)'!$A$5:'[1]Production Details by Shift (2)'!$MJ$36,SUM(303+2+30),0)+VLOOKUP($Q$7,'[1]Production Details by Shift (2)'!$A$5:'[1]Production Details by Shift (2)'!$MJ$36,SUM(303+3+30),0)</f>
        <v>#REF!</v>
      </c>
      <c r="AA18" s="42" t="e">
        <f>VLOOKUP($Q$7,'[1]Production Details by Shift (2)'!$A$5:'[1]Production Details by Shift (2)'!$MJ$36,SUM(303+0+30),0)</f>
        <v>#REF!</v>
      </c>
      <c r="AB18" s="42" t="e">
        <f>VLOOKUP($Q$7,'[1]Production Details by Shift (2)'!$A$5:'[1]Production Details by Shift (2)'!$MJ$36,SUM(303+4+30),0)</f>
        <v>#REF!</v>
      </c>
      <c r="AC18" s="43" t="e">
        <f>VLOOKUP($Q$7,'[1]Production Details by Shift (2)'!$A$5:'[1]Production Details by Shift (2)'!$MJ$36,SUM(303+5+30),0)+VLOOKUP($Q$7,'[1]Production Details by Shift (2)'!$A$5:'[1]Production Details by Shift (2)'!$MJ$36,SUM(303+6+30),0)</f>
        <v>#REF!</v>
      </c>
      <c r="AD18" s="51" t="e">
        <f t="shared" si="68"/>
        <v>#REF!</v>
      </c>
      <c r="AE18" s="52" t="str">
        <f t="shared" si="69"/>
        <v/>
      </c>
      <c r="AG18" s="54" t="e">
        <f t="shared" si="70"/>
        <v>#REF!</v>
      </c>
      <c r="AH18" s="54" t="e">
        <f t="shared" si="52"/>
        <v>#REF!</v>
      </c>
      <c r="AI18" s="54" t="e">
        <f t="shared" si="53"/>
        <v>#REF!</v>
      </c>
      <c r="AJ18" s="54" t="e">
        <f t="shared" si="54"/>
        <v>#REF!</v>
      </c>
      <c r="AK18" s="54" t="e">
        <f t="shared" si="55"/>
        <v>#REF!</v>
      </c>
      <c r="AL18" s="54" t="e">
        <f t="shared" si="56"/>
        <v>#REF!</v>
      </c>
      <c r="AM18" s="54" t="e">
        <f t="shared" si="57"/>
        <v>#REF!</v>
      </c>
      <c r="AN18" s="54" t="e">
        <f t="shared" si="58"/>
        <v>#REF!</v>
      </c>
      <c r="AO18" s="54" t="e">
        <f t="shared" si="59"/>
        <v>#REF!</v>
      </c>
      <c r="AP18" s="54" t="e">
        <f t="shared" si="60"/>
        <v>#REF!</v>
      </c>
      <c r="AQ18" s="54" t="e">
        <f t="shared" si="61"/>
        <v>#REF!</v>
      </c>
      <c r="AR18" s="54" t="e">
        <f t="shared" si="62"/>
        <v>#REF!</v>
      </c>
      <c r="AS18" s="54" t="str">
        <f t="shared" si="63"/>
        <v/>
      </c>
      <c r="AW18" s="12">
        <f>'Imported Data'!A16</f>
        <v>0</v>
      </c>
      <c r="AX18" s="12">
        <f>'Imported Data'!B16</f>
        <v>0</v>
      </c>
      <c r="AY18" s="12">
        <f>'Imported Data'!C16</f>
        <v>0</v>
      </c>
      <c r="AZ18" s="12">
        <f>'Imported Data'!D16</f>
        <v>0</v>
      </c>
      <c r="BA18" s="12">
        <f>'Imported Data'!E16</f>
        <v>0</v>
      </c>
      <c r="BB18" s="12">
        <f>'Imported Data'!F16</f>
        <v>0</v>
      </c>
      <c r="BC18" s="12">
        <f>'Imported Data'!G16</f>
        <v>0</v>
      </c>
      <c r="BD18" s="12">
        <f>'Imported Data'!H16</f>
        <v>0</v>
      </c>
      <c r="BE18" s="12">
        <f>'Imported Data'!I16</f>
        <v>0</v>
      </c>
      <c r="BF18" s="12">
        <f>'Imported Data'!J16</f>
        <v>0</v>
      </c>
      <c r="BG18" s="12">
        <f>'Imported Data'!K16</f>
        <v>0</v>
      </c>
      <c r="BH18" s="12">
        <f>'Imported Data'!L16</f>
        <v>0</v>
      </c>
      <c r="BI18" s="12">
        <f>'Imported Data'!M16</f>
        <v>0</v>
      </c>
      <c r="BJ18" s="12">
        <f>'Imported Data'!N16</f>
        <v>0</v>
      </c>
      <c r="BK18" s="12">
        <f>'Imported Data'!O16</f>
        <v>0</v>
      </c>
    </row>
    <row r="19" spans="1:63" ht="18.75">
      <c r="A19" s="31" t="s">
        <v>8</v>
      </c>
      <c r="B19" s="31"/>
      <c r="C19" s="16">
        <f>SUM(C16:C18)</f>
        <v>0</v>
      </c>
      <c r="D19" s="16">
        <f t="shared" ref="D19:O19" si="71">SUM(D16:D18)</f>
        <v>0</v>
      </c>
      <c r="E19" s="16">
        <f t="shared" si="71"/>
        <v>0</v>
      </c>
      <c r="F19" s="16">
        <f t="shared" si="71"/>
        <v>0</v>
      </c>
      <c r="G19" s="16">
        <f t="shared" si="71"/>
        <v>0</v>
      </c>
      <c r="H19" s="16">
        <f t="shared" ref="H19" si="72">SUM(H16:H18)</f>
        <v>0</v>
      </c>
      <c r="I19" s="16">
        <f t="shared" si="71"/>
        <v>0</v>
      </c>
      <c r="J19" s="16">
        <f t="shared" si="71"/>
        <v>0</v>
      </c>
      <c r="K19" s="16">
        <f t="shared" si="71"/>
        <v>0</v>
      </c>
      <c r="L19" s="16">
        <f t="shared" si="71"/>
        <v>0</v>
      </c>
      <c r="M19" s="16">
        <f t="shared" si="71"/>
        <v>0</v>
      </c>
      <c r="N19" s="16">
        <f t="shared" si="71"/>
        <v>0</v>
      </c>
      <c r="O19" s="16">
        <f t="shared" si="71"/>
        <v>0</v>
      </c>
      <c r="Q19" s="46" t="s">
        <v>8</v>
      </c>
      <c r="R19" s="46"/>
      <c r="S19" s="47" t="e">
        <f>SUM(S16:S18)</f>
        <v>#REF!</v>
      </c>
      <c r="T19" s="47" t="e">
        <f t="shared" ref="T19:AE19" si="73">SUM(T16:T18)</f>
        <v>#REF!</v>
      </c>
      <c r="U19" s="47" t="e">
        <f t="shared" si="73"/>
        <v>#REF!</v>
      </c>
      <c r="V19" s="47" t="e">
        <f t="shared" si="73"/>
        <v>#REF!</v>
      </c>
      <c r="W19" s="47" t="e">
        <f t="shared" si="73"/>
        <v>#REF!</v>
      </c>
      <c r="X19" s="48" t="e">
        <f t="shared" si="73"/>
        <v>#REF!</v>
      </c>
      <c r="Y19" s="47" t="e">
        <f t="shared" si="73"/>
        <v>#REF!</v>
      </c>
      <c r="Z19" s="47" t="e">
        <f t="shared" si="73"/>
        <v>#REF!</v>
      </c>
      <c r="AA19" s="47" t="e">
        <f t="shared" si="73"/>
        <v>#REF!</v>
      </c>
      <c r="AB19" s="47" t="e">
        <f t="shared" si="73"/>
        <v>#REF!</v>
      </c>
      <c r="AC19" s="47" t="e">
        <f t="shared" si="73"/>
        <v>#REF!</v>
      </c>
      <c r="AD19" s="53" t="e">
        <f t="shared" si="73"/>
        <v>#REF!</v>
      </c>
      <c r="AE19" s="47">
        <f t="shared" si="73"/>
        <v>0</v>
      </c>
      <c r="AG19" s="54" t="e">
        <f t="shared" si="70"/>
        <v>#REF!</v>
      </c>
      <c r="AH19" s="54" t="e">
        <f t="shared" si="52"/>
        <v>#REF!</v>
      </c>
      <c r="AI19" s="54" t="e">
        <f t="shared" si="53"/>
        <v>#REF!</v>
      </c>
      <c r="AJ19" s="54" t="e">
        <f t="shared" si="54"/>
        <v>#REF!</v>
      </c>
      <c r="AK19" s="54" t="e">
        <f t="shared" si="55"/>
        <v>#REF!</v>
      </c>
      <c r="AL19" s="54" t="e">
        <f t="shared" si="56"/>
        <v>#REF!</v>
      </c>
      <c r="AM19" s="54" t="e">
        <f t="shared" si="57"/>
        <v>#REF!</v>
      </c>
      <c r="AN19" s="54" t="e">
        <f t="shared" si="58"/>
        <v>#REF!</v>
      </c>
      <c r="AO19" s="54" t="e">
        <f t="shared" si="59"/>
        <v>#REF!</v>
      </c>
      <c r="AP19" s="54" t="e">
        <f t="shared" si="60"/>
        <v>#REF!</v>
      </c>
      <c r="AQ19" s="54" t="e">
        <f t="shared" si="61"/>
        <v>#REF!</v>
      </c>
      <c r="AR19" s="54" t="e">
        <f t="shared" si="62"/>
        <v>#REF!</v>
      </c>
      <c r="AS19" s="54" t="b">
        <f t="shared" si="63"/>
        <v>1</v>
      </c>
      <c r="AW19" s="12" t="str">
        <f>'Imported Data'!A17</f>
        <v>Production</v>
      </c>
      <c r="AX19" s="12" t="str">
        <f>'Imported Data'!B17</f>
        <v>BAG CEMENT B-M (PCC)</v>
      </c>
      <c r="AY19" s="12" t="str">
        <f>'Imported Data'!C17</f>
        <v>BAG CEMENT GOLD (OPC)</v>
      </c>
      <c r="AZ19" s="12" t="str">
        <f>'Imported Data'!D17</f>
        <v>Total</v>
      </c>
      <c r="BA19" s="12">
        <f>'Imported Data'!E17</f>
        <v>0</v>
      </c>
      <c r="BB19" s="12">
        <f>'Imported Data'!F17</f>
        <v>0</v>
      </c>
      <c r="BC19" s="12">
        <f>'Imported Data'!G17</f>
        <v>0</v>
      </c>
      <c r="BD19" s="12">
        <f>'Imported Data'!H17</f>
        <v>0</v>
      </c>
      <c r="BE19" s="12">
        <f>'Imported Data'!I17</f>
        <v>0</v>
      </c>
      <c r="BF19" s="12">
        <f>'Imported Data'!J17</f>
        <v>0</v>
      </c>
      <c r="BG19" s="12">
        <f>'Imported Data'!K17</f>
        <v>0</v>
      </c>
      <c r="BH19" s="12">
        <f>'Imported Data'!L17</f>
        <v>0</v>
      </c>
      <c r="BI19" s="12">
        <f>'Imported Data'!M17</f>
        <v>0</v>
      </c>
      <c r="BJ19" s="12">
        <f>'Imported Data'!N17</f>
        <v>0</v>
      </c>
      <c r="BK19" s="12">
        <f>'Imported Data'!O17</f>
        <v>0</v>
      </c>
    </row>
    <row r="20" spans="1:63">
      <c r="AW20" s="12" t="str">
        <f>'Imported Data'!A18</f>
        <v>Date</v>
      </c>
      <c r="AX20" s="12">
        <f>'Imported Data'!B18</f>
        <v>0</v>
      </c>
      <c r="AY20" s="12">
        <f>'Imported Data'!C18</f>
        <v>0</v>
      </c>
      <c r="AZ20" s="12">
        <f>'Imported Data'!D18</f>
        <v>0</v>
      </c>
      <c r="BA20" s="12">
        <f>'Imported Data'!E18</f>
        <v>0</v>
      </c>
      <c r="BB20" s="12">
        <f>'Imported Data'!F18</f>
        <v>0</v>
      </c>
      <c r="BC20" s="12">
        <f>'Imported Data'!G18</f>
        <v>0</v>
      </c>
      <c r="BD20" s="12">
        <f>'Imported Data'!H18</f>
        <v>0</v>
      </c>
      <c r="BE20" s="12">
        <f>'Imported Data'!I18</f>
        <v>0</v>
      </c>
      <c r="BF20" s="12">
        <f>'Imported Data'!J18</f>
        <v>0</v>
      </c>
      <c r="BG20" s="12">
        <f>'Imported Data'!K18</f>
        <v>0</v>
      </c>
      <c r="BH20" s="12">
        <f>'Imported Data'!L18</f>
        <v>0</v>
      </c>
      <c r="BI20" s="12">
        <f>'Imported Data'!M18</f>
        <v>0</v>
      </c>
      <c r="BJ20" s="12">
        <f>'Imported Data'!N18</f>
        <v>0</v>
      </c>
      <c r="BK20" s="12">
        <f>'Imported Data'!O18</f>
        <v>0</v>
      </c>
    </row>
    <row r="21" spans="1:63">
      <c r="AW21" s="12">
        <f>'Imported Data'!A19</f>
        <v>45205</v>
      </c>
      <c r="AX21" s="12">
        <f>'Imported Data'!B19</f>
        <v>1200</v>
      </c>
      <c r="AY21" s="12">
        <f>'Imported Data'!C19</f>
        <v>100</v>
      </c>
      <c r="AZ21" s="12">
        <f>'Imported Data'!D19</f>
        <v>1300</v>
      </c>
      <c r="BA21" s="12">
        <f>'Imported Data'!E19</f>
        <v>0</v>
      </c>
      <c r="BB21" s="12">
        <f>'Imported Data'!F19</f>
        <v>0</v>
      </c>
      <c r="BC21" s="12">
        <f>'Imported Data'!G19</f>
        <v>0</v>
      </c>
      <c r="BD21" s="12">
        <f>'Imported Data'!H19</f>
        <v>0</v>
      </c>
      <c r="BE21" s="12">
        <f>'Imported Data'!I19</f>
        <v>0</v>
      </c>
      <c r="BF21" s="12">
        <f>'Imported Data'!J19</f>
        <v>0</v>
      </c>
      <c r="BG21" s="12">
        <f>'Imported Data'!K19</f>
        <v>0</v>
      </c>
      <c r="BH21" s="12">
        <f>'Imported Data'!L19</f>
        <v>0</v>
      </c>
      <c r="BI21" s="12">
        <f>'Imported Data'!M19</f>
        <v>0</v>
      </c>
      <c r="BJ21" s="12">
        <f>'Imported Data'!N19</f>
        <v>0</v>
      </c>
      <c r="BK21" s="12">
        <f>'Imported Data'!O19</f>
        <v>0</v>
      </c>
    </row>
  </sheetData>
  <mergeCells count="14">
    <mergeCell ref="A7:A9"/>
    <mergeCell ref="A16:A18"/>
    <mergeCell ref="Q7:Q9"/>
    <mergeCell ref="Q16:Q18"/>
    <mergeCell ref="AE4:AE5"/>
    <mergeCell ref="AE13:AE14"/>
    <mergeCell ref="C4:H4"/>
    <mergeCell ref="I4:N4"/>
    <mergeCell ref="S4:X4"/>
    <mergeCell ref="Y4:AD4"/>
    <mergeCell ref="C13:H13"/>
    <mergeCell ref="I13:N13"/>
    <mergeCell ref="S13:X13"/>
    <mergeCell ref="Y13:AD13"/>
  </mergeCells>
  <conditionalFormatting sqref="C7:O10">
    <cfRule type="expression" dxfId="9" priority="2">
      <formula>AG7=TRUE</formula>
    </cfRule>
  </conditionalFormatting>
  <conditionalFormatting sqref="C16:O19">
    <cfRule type="expression" dxfId="8" priority="1">
      <formula>AG16=TRUE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CD49-A197-4647-9B8C-03FC920924A9}">
  <sheetPr codeName="Sheet7">
    <tabColor rgb="FFFFFF00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A09E1-7CFE-45A0-ACDD-4FD4E7F271AA}">
  <sheetPr codeName="Sheet8">
    <tabColor theme="4" tint="-0.249977111117893"/>
  </sheetPr>
  <dimension ref="A1:H15"/>
  <sheetViews>
    <sheetView workbookViewId="0">
      <selection activeCell="H10" sqref="H10"/>
    </sheetView>
  </sheetViews>
  <sheetFormatPr defaultRowHeight="15"/>
  <cols>
    <col min="1" max="1" width="16.28515625" bestFit="1" customWidth="1"/>
  </cols>
  <sheetData>
    <row r="1" spans="1:8">
      <c r="E1" s="73" t="s">
        <v>81</v>
      </c>
      <c r="F1" s="82" t="s">
        <v>83</v>
      </c>
      <c r="G1" s="73" t="s">
        <v>82</v>
      </c>
      <c r="H1" s="82" t="s">
        <v>80</v>
      </c>
    </row>
    <row r="2" spans="1:8">
      <c r="A2" s="74" t="s">
        <v>42</v>
      </c>
      <c r="B2" s="74" t="str">
        <f>VLOOKUP(A2,'Check ILS'!$A$17:$H$21,8,0)</f>
        <v>BM (2 PLY)</v>
      </c>
      <c r="C2" s="74"/>
      <c r="D2" s="74"/>
      <c r="E2" s="75">
        <f>-SUMIFS('Material Transaction'!$O:$O,'Material Transaction'!$A:$A,'Check Mat Trans'!A2)</f>
        <v>0</v>
      </c>
      <c r="F2" s="85">
        <f>[1]Monthly!$D$8+[1]Monthly!$F$8</f>
        <v>233837</v>
      </c>
      <c r="G2" t="e">
        <f>-(VLOOKUP($A2,'Check ILS'!$A$8:$G$13,4,0)+VLOOKUP($A2,'Check ILS'!$A$8:$G$13,5,0))</f>
        <v>#N/A</v>
      </c>
    </row>
    <row r="3" spans="1:8">
      <c r="A3" s="74" t="s">
        <v>43</v>
      </c>
      <c r="B3" s="74" t="str">
        <f>VLOOKUP(A3,'Check ILS'!$A$17:$H$21,8,0)</f>
        <v>Gold (2 PLY)</v>
      </c>
      <c r="C3" s="74"/>
      <c r="D3" s="74"/>
      <c r="E3" s="75">
        <f>-SUMIFS('Material Transaction'!$O:$O,'Material Transaction'!$A:$A,'Check Mat Trans'!A3)</f>
        <v>0</v>
      </c>
      <c r="F3" s="85">
        <f>[1]Monthly!$D$11+[1]Monthly!$F$11</f>
        <v>9073</v>
      </c>
      <c r="G3" t="e">
        <f>-(VLOOKUP($A3,'Check ILS'!$A$8:$G$13,4,0)+VLOOKUP($A3,'Check ILS'!$A$8:$G$13,5,0))</f>
        <v>#N/A</v>
      </c>
    </row>
    <row r="4" spans="1:8">
      <c r="A4" s="74" t="s">
        <v>44</v>
      </c>
      <c r="B4" s="74" t="str">
        <f>VLOOKUP(A4,'Check ILS'!$A$17:$H$21,8,0)</f>
        <v>Gold (1 PLY)</v>
      </c>
      <c r="C4" s="74"/>
      <c r="D4" s="74"/>
      <c r="E4" s="75">
        <f>-SUMIFS('Material Transaction'!$O:$O,'Material Transaction'!$A:$A,'Check Mat Trans'!A4)</f>
        <v>0</v>
      </c>
      <c r="F4" s="85">
        <f>[1]Monthly!$D$12+[1]Monthly!$F$12</f>
        <v>0</v>
      </c>
      <c r="G4" t="e">
        <f>-(VLOOKUP($A4,'Check ILS'!$A$8:$G$13,4,0)+VLOOKUP($A4,'Check ILS'!$A$8:$G$13,5,0))</f>
        <v>#N/A</v>
      </c>
    </row>
    <row r="5" spans="1:8">
      <c r="A5" s="74" t="s">
        <v>45</v>
      </c>
      <c r="B5" s="74" t="str">
        <f>VLOOKUP(A5,'Check ILS'!$A$17:$H$21,8,0)</f>
        <v>AM (1 PLY )</v>
      </c>
      <c r="C5" s="74"/>
      <c r="D5" s="74"/>
      <c r="E5" s="75">
        <f>-SUMIFS('Material Transaction'!$O:$O,'Material Transaction'!$A:$A,'Check Mat Trans'!A5)</f>
        <v>0</v>
      </c>
      <c r="F5" s="85">
        <f>[1]Monthly!$D$10+[1]Monthly!$F$10</f>
        <v>201</v>
      </c>
      <c r="G5" t="e">
        <f>-(VLOOKUP($A5,'Check ILS'!$A$8:$G$13,4,0)+VLOOKUP($A5,'Check ILS'!$A$8:$G$13,5,0))</f>
        <v>#N/A</v>
      </c>
    </row>
    <row r="6" spans="1:8">
      <c r="A6" s="74" t="s">
        <v>46</v>
      </c>
      <c r="B6" s="74" t="str">
        <f>VLOOKUP(A6,'Check ILS'!$A$17:$H$21,8,0)</f>
        <v>AM (2 Ply)</v>
      </c>
      <c r="C6" s="74"/>
      <c r="D6" s="74"/>
      <c r="E6" s="75">
        <f>-SUMIFS('Material Transaction'!$O:$O,'Material Transaction'!$A:$A,'Check Mat Trans'!A6)</f>
        <v>0</v>
      </c>
      <c r="F6" s="85">
        <f>[1]Monthly!$D$9+[1]Monthly!$F$9</f>
        <v>53876</v>
      </c>
      <c r="G6" t="e">
        <f>-(VLOOKUP($A6,'Check ILS'!$A$8:$G$13,4,0)+VLOOKUP($A6,'Check ILS'!$A$8:$G$13,5,0))</f>
        <v>#N/A</v>
      </c>
    </row>
    <row r="7" spans="1:8">
      <c r="A7" s="76" t="s">
        <v>68</v>
      </c>
      <c r="B7" s="76"/>
      <c r="C7" s="76"/>
      <c r="D7" s="76"/>
      <c r="E7" s="81">
        <f>-SUMIFS('Material Transaction'!$O:$O, 'Material Transaction'!$A:$A, 'Check Mat Trans'!A7, 'Material Transaction'!$O:$O, "&lt;0")</f>
        <v>0</v>
      </c>
      <c r="F7" s="84">
        <f>[1]Monthly!$D$20</f>
        <v>11678.15</v>
      </c>
      <c r="G7" s="83"/>
    </row>
    <row r="8" spans="1:8">
      <c r="A8" s="76" t="s">
        <v>69</v>
      </c>
      <c r="B8" s="76"/>
      <c r="C8" s="76"/>
      <c r="D8" s="76"/>
      <c r="E8" s="81">
        <f ca="1">-SUMIFS('Material Transaction'!$O:$O, 'Material Transaction'!$A:$A, 'Check Mat Trans'!A8, 'Material Transaction'!$O:$O, "&lt;0")</f>
        <v>0</v>
      </c>
      <c r="F8" s="84">
        <f>[1]Monthly!$D$21</f>
        <v>2700.5</v>
      </c>
      <c r="G8" s="83"/>
    </row>
    <row r="9" spans="1:8">
      <c r="A9" s="76" t="s">
        <v>66</v>
      </c>
      <c r="B9" s="76"/>
      <c r="C9" s="76"/>
      <c r="D9" s="76"/>
      <c r="E9" s="81">
        <f ca="1">-SUMIFS('Material Transaction'!$O:$O, 'Material Transaction'!$A:$A, 'Check Mat Trans'!A9, 'Material Transaction'!$O:$O, "&lt;0")</f>
        <v>0</v>
      </c>
      <c r="F9" s="84">
        <f>[1]Monthly!$D$22</f>
        <v>453</v>
      </c>
      <c r="G9" s="83"/>
    </row>
    <row r="10" spans="1:8">
      <c r="A10" s="77" t="s">
        <v>70</v>
      </c>
      <c r="B10" s="77"/>
      <c r="C10" s="77"/>
      <c r="D10" s="77"/>
      <c r="E10" s="78">
        <f>SUMIFS('Material Transaction'!$O:$O,'Material Transaction'!$A:$A,'Check Mat Trans'!A10)</f>
        <v>0</v>
      </c>
      <c r="F10" s="85">
        <f>[1]Monthly!$D$8</f>
        <v>233563</v>
      </c>
    </row>
    <row r="11" spans="1:8">
      <c r="A11" s="77" t="s">
        <v>71</v>
      </c>
      <c r="B11" s="77"/>
      <c r="C11" s="77"/>
      <c r="D11" s="77"/>
      <c r="E11" s="78">
        <f>SUMIFS('Material Transaction'!$O:$O,'Material Transaction'!$A:$A,'Check Mat Trans'!A11)</f>
        <v>0</v>
      </c>
      <c r="F11" s="85">
        <f>[1]Monthly!$D$9</f>
        <v>53810</v>
      </c>
    </row>
    <row r="12" spans="1:8">
      <c r="A12" s="77" t="s">
        <v>74</v>
      </c>
      <c r="B12" s="77"/>
      <c r="C12" s="77"/>
      <c r="D12" s="77"/>
      <c r="E12" s="78">
        <f>SUMIFS('Material Transaction'!$O:$O,'Material Transaction'!$A:$A,'Check Mat Trans'!A12)</f>
        <v>0</v>
      </c>
      <c r="F12" s="85">
        <f>[1]Monthly!$D$10</f>
        <v>200</v>
      </c>
    </row>
    <row r="13" spans="1:8">
      <c r="A13" s="77" t="s">
        <v>72</v>
      </c>
      <c r="B13" s="77"/>
      <c r="C13" s="77"/>
      <c r="D13" s="77"/>
      <c r="E13" s="78">
        <f>SUMIFS('Material Transaction'!$O:$O,'Material Transaction'!$A:$A,'Check Mat Trans'!A13)</f>
        <v>0</v>
      </c>
      <c r="F13" s="85">
        <f>[1]Monthly!$D$11</f>
        <v>9060</v>
      </c>
    </row>
    <row r="14" spans="1:8">
      <c r="A14" s="77" t="s">
        <v>73</v>
      </c>
      <c r="B14" s="77"/>
      <c r="C14" s="77"/>
      <c r="D14" s="77"/>
      <c r="E14" s="78">
        <f>SUMIFS('Material Transaction'!$O:$O,'Material Transaction'!$A:$A,'Check Mat Trans'!A14)</f>
        <v>0</v>
      </c>
      <c r="F14" s="85">
        <f>[1]Monthly!$D$12</f>
        <v>0</v>
      </c>
    </row>
    <row r="15" spans="1:8">
      <c r="A15" s="79" t="s">
        <v>75</v>
      </c>
      <c r="B15" s="79"/>
      <c r="C15" s="79"/>
      <c r="D15" s="79"/>
      <c r="E15" s="80">
        <f>SUMIFS('Material Transaction'!$O:$O,'Material Transaction'!$A:$A,'Check Mat Trans'!A15)</f>
        <v>0</v>
      </c>
      <c r="F15" s="85">
        <f>[1]Monthly!$F$13</f>
        <v>354</v>
      </c>
    </row>
  </sheetData>
  <phoneticPr fontId="74" type="noConversion"/>
  <conditionalFormatting sqref="F10:F15">
    <cfRule type="expression" dxfId="7" priority="2">
      <formula>IF(F10=E10,TRUE)</formula>
    </cfRule>
  </conditionalFormatting>
  <conditionalFormatting sqref="F2:F9">
    <cfRule type="expression" dxfId="6" priority="1">
      <formula>IF(F2=E2,TRUE)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A50"/>
  <sheetViews>
    <sheetView workbookViewId="0"/>
  </sheetViews>
  <sheetFormatPr defaultColWidth="9" defaultRowHeight="15"/>
  <cols>
    <col min="1" max="1" width="16.28515625" customWidth="1"/>
    <col min="2" max="2" width="47.28515625" customWidth="1"/>
    <col min="3" max="3" width="19.5703125" customWidth="1"/>
    <col min="4" max="4" width="4.28515625" customWidth="1"/>
    <col min="5" max="5" width="14.140625" customWidth="1"/>
    <col min="6" max="6" width="7" customWidth="1"/>
    <col min="7" max="7" width="3" customWidth="1"/>
    <col min="8" max="8" width="19.28515625" customWidth="1"/>
    <col min="9" max="9" width="18.28515625" customWidth="1"/>
    <col min="10" max="10" width="16.5703125" customWidth="1"/>
    <col min="11" max="11" width="7.5703125" customWidth="1"/>
    <col min="12" max="12" width="9.28515625" customWidth="1"/>
    <col min="13" max="13" width="10.28515625" customWidth="1"/>
    <col min="14" max="14" width="17.42578125" customWidth="1"/>
    <col min="15" max="15" width="13.5703125" customWidth="1"/>
  </cols>
  <sheetData>
    <row r="1" ht="18" customHeight="1"/>
    <row r="2" ht="15" customHeight="1"/>
    <row r="3" ht="15" customHeight="1"/>
    <row r="4" ht="15" customHeight="1"/>
    <row r="5" ht="15" customHeight="1"/>
    <row r="6" ht="15" customHeight="1"/>
    <row r="8" ht="15" customHeight="1"/>
    <row r="9" ht="15" customHeigh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-0.249977111117893"/>
  </sheetPr>
  <dimension ref="A5:K21"/>
  <sheetViews>
    <sheetView topLeftCell="A4" workbookViewId="0">
      <selection activeCell="H17" sqref="H17:H21"/>
    </sheetView>
  </sheetViews>
  <sheetFormatPr defaultColWidth="9" defaultRowHeight="15"/>
  <cols>
    <col min="1" max="1" width="16.5703125" customWidth="1"/>
    <col min="2" max="2" width="47.28515625" customWidth="1"/>
    <col min="3" max="3" width="16" customWidth="1"/>
    <col min="4" max="4" width="19.42578125" customWidth="1"/>
    <col min="5" max="5" width="18.28515625" customWidth="1"/>
    <col min="6" max="6" width="11.5703125" customWidth="1"/>
    <col min="7" max="7" width="14.85546875" customWidth="1"/>
    <col min="8" max="8" width="11.42578125" customWidth="1"/>
    <col min="9" max="10" width="10.140625" customWidth="1"/>
  </cols>
  <sheetData>
    <row r="5" spans="1:11">
      <c r="A5" t="s">
        <v>47</v>
      </c>
      <c r="B5" t="s">
        <v>48</v>
      </c>
    </row>
    <row r="6" spans="1:11">
      <c r="A6" s="1" t="e">
        <f>(MID('Ledger Summery'!A4,6,9)+0)</f>
        <v>#VALUE!</v>
      </c>
      <c r="B6" s="1" t="e">
        <f>(RIGHT('Ledger Summery'!A4,9)+0)</f>
        <v>#VALUE!</v>
      </c>
      <c r="I6" s="17" t="str">
        <f>A5</f>
        <v>From</v>
      </c>
      <c r="J6" s="17" t="str">
        <f>B5</f>
        <v>To</v>
      </c>
      <c r="K6" s="17"/>
    </row>
    <row r="7" spans="1:11">
      <c r="I7" s="18" t="e">
        <f>A6</f>
        <v>#VALUE!</v>
      </c>
      <c r="J7" s="18" t="e">
        <f>B6</f>
        <v>#VALUE!</v>
      </c>
      <c r="K7" s="17"/>
    </row>
    <row r="8" spans="1:11">
      <c r="A8" s="12" t="s">
        <v>34</v>
      </c>
      <c r="B8" s="12" t="s">
        <v>35</v>
      </c>
      <c r="C8" s="12" t="s">
        <v>37</v>
      </c>
      <c r="D8" s="12" t="s">
        <v>38</v>
      </c>
      <c r="E8" s="13" t="s">
        <v>39</v>
      </c>
      <c r="F8" s="12" t="s">
        <v>40</v>
      </c>
      <c r="G8" s="14" t="s">
        <v>41</v>
      </c>
      <c r="I8" s="19" t="s">
        <v>15</v>
      </c>
      <c r="J8" s="19" t="s">
        <v>32</v>
      </c>
      <c r="K8" s="19" t="s">
        <v>49</v>
      </c>
    </row>
    <row r="9" spans="1:11">
      <c r="A9" s="15" t="s">
        <v>42</v>
      </c>
      <c r="B9" s="12" t="e">
        <f>VLOOKUP($A9,'Ledger Summery'!$A$10:$O$26,MATCH(B$8,'Ledger Summery'!$A$8:$O$8,0),0)</f>
        <v>#N/A</v>
      </c>
      <c r="C9" s="12" t="e">
        <f>VLOOKUP($A9,'Ledger Summery'!$A$10:$O$26,MATCH(C$8,'Ledger Summery'!$A$8:$O$8,0),0)</f>
        <v>#N/A</v>
      </c>
      <c r="D9" s="12" t="e">
        <f>VLOOKUP($A9,'Ledger Summery'!$A$10:$O$26,MATCH(D$8,'Ledger Summery'!$A$8:$O$8,0),0)</f>
        <v>#N/A</v>
      </c>
      <c r="E9" s="12" t="e">
        <f>VLOOKUP($A9,'Ledger Summery'!$A$10:$O$26,MATCH(E$8,'Ledger Summery'!$A$8:$O$8,0),0)</f>
        <v>#N/A</v>
      </c>
      <c r="F9" s="12" t="e">
        <f>VLOOKUP($A9,'Ledger Summery'!$A$10:$O$26,MATCH(F$8,'Ledger Summery'!$A$8:$O$8,0),0)</f>
        <v>#N/A</v>
      </c>
      <c r="G9" s="12" t="e">
        <f>VLOOKUP($A9,'Ledger Summery'!$A$10:$O$26,MATCH(G$8,'Ledger Summery'!$A$8:$O$8,0),0)</f>
        <v>#N/A</v>
      </c>
      <c r="I9" s="17" t="e">
        <f ca="1">SUM(OFFSET('[1]Monthly Summery'!$AF$6,1,0,$B$6-$A$6+1,1))</f>
        <v>#VALUE!</v>
      </c>
      <c r="J9" s="17" t="e">
        <f ca="1">SUM(OFFSET('[1]Monthly Summery'!$AU$6,1,0,$B$6-$A$6+1,1))</f>
        <v>#VALUE!</v>
      </c>
      <c r="K9" s="17" t="e">
        <f ca="1">I9+J9</f>
        <v>#VALUE!</v>
      </c>
    </row>
    <row r="10" spans="1:11">
      <c r="A10" s="15" t="s">
        <v>46</v>
      </c>
      <c r="B10" s="12" t="e">
        <f>VLOOKUP($A10,'Ledger Summery'!$A$10:$O$26,MATCH(B$8,'Ledger Summery'!$A$8:$O$8,0),0)</f>
        <v>#N/A</v>
      </c>
      <c r="C10" s="12" t="e">
        <f>VLOOKUP($A10,'Ledger Summery'!$A$10:$O$26,MATCH(C$8,'Ledger Summery'!$A$8:$O$8,0),0)</f>
        <v>#N/A</v>
      </c>
      <c r="D10" s="12" t="e">
        <f>VLOOKUP($A10,'Ledger Summery'!$A$10:$O$26,MATCH(D$8,'Ledger Summery'!$A$8:$O$8,0),0)</f>
        <v>#N/A</v>
      </c>
      <c r="E10" s="12" t="e">
        <f>VLOOKUP($A10,'Ledger Summery'!$A$10:$O$26,MATCH(E$8,'Ledger Summery'!$A$8:$O$8,0),0)</f>
        <v>#N/A</v>
      </c>
      <c r="F10" s="12" t="e">
        <f>VLOOKUP($A10,'Ledger Summery'!$A$10:$O$26,MATCH(F$8,'Ledger Summery'!$A$8:$O$8,0),0)</f>
        <v>#N/A</v>
      </c>
      <c r="G10" s="12" t="e">
        <f>VLOOKUP($A10,'Ledger Summery'!$A$10:$O$26,MATCH(G$8,'Ledger Summery'!$A$8:$O$8,0),0)</f>
        <v>#N/A</v>
      </c>
      <c r="I10" s="17" t="e">
        <f ca="1">SUM(OFFSET('[1]Monthly Summery'!$AG$6,1,0,$B$6-$A$6+1,1))</f>
        <v>#VALUE!</v>
      </c>
      <c r="J10" s="17" t="e">
        <f ca="1">SUM(OFFSET('[1]Monthly Summery'!$AV$6,1,0,$B$6-$A$6+1,1))</f>
        <v>#VALUE!</v>
      </c>
      <c r="K10" s="17" t="e">
        <f t="shared" ref="K10:K13" ca="1" si="0">I10+J10</f>
        <v>#VALUE!</v>
      </c>
    </row>
    <row r="11" spans="1:11">
      <c r="A11" s="15" t="s">
        <v>45</v>
      </c>
      <c r="B11" s="12" t="e">
        <f>VLOOKUP($A11,'Ledger Summery'!$A$10:$O$26,MATCH(B$8,'Ledger Summery'!$A$8:$O$8,0),0)</f>
        <v>#N/A</v>
      </c>
      <c r="C11" s="12" t="e">
        <f>VLOOKUP($A11,'Ledger Summery'!$A$10:$O$26,MATCH(C$8,'Ledger Summery'!$A$8:$O$8,0),0)</f>
        <v>#N/A</v>
      </c>
      <c r="D11" s="12" t="e">
        <f>VLOOKUP($A11,'Ledger Summery'!$A$10:$O$26,MATCH(D$8,'Ledger Summery'!$A$8:$O$8,0),0)</f>
        <v>#N/A</v>
      </c>
      <c r="E11" s="12" t="e">
        <f>VLOOKUP($A11,'Ledger Summery'!$A$10:$O$26,MATCH(E$8,'Ledger Summery'!$A$8:$O$8,0),0)</f>
        <v>#N/A</v>
      </c>
      <c r="F11" s="12" t="e">
        <f>VLOOKUP($A11,'Ledger Summery'!$A$10:$O$26,MATCH(F$8,'Ledger Summery'!$A$8:$O$8,0),0)</f>
        <v>#N/A</v>
      </c>
      <c r="G11" s="12" t="e">
        <f>VLOOKUP($A11,'Ledger Summery'!$A$10:$O$26,MATCH(G$8,'Ledger Summery'!$A$8:$O$8,0),0)</f>
        <v>#N/A</v>
      </c>
      <c r="I11" s="17" t="e">
        <f ca="1">SUM(OFFSET('[1]Monthly Summery'!$AH$6,1,0,$B$6-$A$6+1,1))+SUM(OFFSET('[1]Monthly Summery'!$AI$6,1,0,$B$6-$A$6+1,1))</f>
        <v>#VALUE!</v>
      </c>
      <c r="J11" s="17" t="e">
        <f ca="1">SUM(OFFSET('[1]Monthly Summery'!$AW$6,1,0,$B$6-$A$6+1,1))+SUM(OFFSET('[1]Monthly Summery'!$AX$6,1,0,$B$6-$A$6+1,1))</f>
        <v>#VALUE!</v>
      </c>
      <c r="K11" s="17" t="e">
        <f t="shared" ca="1" si="0"/>
        <v>#VALUE!</v>
      </c>
    </row>
    <row r="12" spans="1:11">
      <c r="A12" s="15" t="s">
        <v>43</v>
      </c>
      <c r="B12" s="12" t="e">
        <f>VLOOKUP($A12,'Ledger Summery'!$A$10:$O$26,MATCH(B$8,'Ledger Summery'!$A$8:$O$8,0),0)</f>
        <v>#N/A</v>
      </c>
      <c r="C12" s="12" t="e">
        <f>VLOOKUP($A12,'Ledger Summery'!$A$10:$O$26,MATCH(C$8,'Ledger Summery'!$A$8:$O$8,0),0)</f>
        <v>#N/A</v>
      </c>
      <c r="D12" s="12" t="e">
        <f>VLOOKUP($A12,'Ledger Summery'!$A$10:$O$26,MATCH(D$8,'Ledger Summery'!$A$8:$O$8,0),0)</f>
        <v>#N/A</v>
      </c>
      <c r="E12" s="12" t="e">
        <f>VLOOKUP($A12,'Ledger Summery'!$A$10:$O$26,MATCH(E$8,'Ledger Summery'!$A$8:$O$8,0),0)</f>
        <v>#N/A</v>
      </c>
      <c r="F12" s="12" t="e">
        <f>VLOOKUP($A12,'Ledger Summery'!$A$10:$O$26,MATCH(F$8,'Ledger Summery'!$A$8:$O$8,0),0)</f>
        <v>#N/A</v>
      </c>
      <c r="G12" s="12" t="e">
        <f>VLOOKUP($A12,'Ledger Summery'!$A$10:$O$26,MATCH(G$8,'Ledger Summery'!$A$8:$O$8,0),0)</f>
        <v>#N/A</v>
      </c>
      <c r="I12" s="17" t="e">
        <f ca="1">SUM(OFFSET('[1]Monthly Summery'!$AJ$6,1,0,$B$6-$A$6+1,1))</f>
        <v>#VALUE!</v>
      </c>
      <c r="J12" s="17" t="e">
        <f ca="1">SUM(OFFSET('[1]Monthly Summery'!$AY$6,1,0,$B$6-$A$6+1,1))</f>
        <v>#VALUE!</v>
      </c>
      <c r="K12" s="17" t="e">
        <f t="shared" ca="1" si="0"/>
        <v>#VALUE!</v>
      </c>
    </row>
    <row r="13" spans="1:11">
      <c r="A13" s="15" t="s">
        <v>44</v>
      </c>
      <c r="B13" s="12" t="e">
        <f>VLOOKUP($A13,'Ledger Summery'!$A$10:$O$26,MATCH(B$8,'Ledger Summery'!$A$8:$O$8,0),0)</f>
        <v>#N/A</v>
      </c>
      <c r="C13" s="12" t="e">
        <f>VLOOKUP($A13,'Ledger Summery'!$A$10:$O$26,MATCH(C$8,'Ledger Summery'!$A$8:$O$8,0),0)</f>
        <v>#N/A</v>
      </c>
      <c r="D13" s="12" t="e">
        <f>VLOOKUP($A13,'Ledger Summery'!$A$10:$O$26,MATCH(D$8,'Ledger Summery'!$A$8:$O$8,0),0)</f>
        <v>#N/A</v>
      </c>
      <c r="E13" s="12" t="e">
        <f>VLOOKUP($A13,'Ledger Summery'!$A$10:$O$26,MATCH(E$8,'Ledger Summery'!$A$8:$O$8,0),0)</f>
        <v>#N/A</v>
      </c>
      <c r="F13" s="12" t="e">
        <f>VLOOKUP($A13,'Ledger Summery'!$A$10:$O$26,MATCH(F$8,'Ledger Summery'!$A$8:$O$8,0),0)</f>
        <v>#N/A</v>
      </c>
      <c r="G13" s="12" t="e">
        <f>VLOOKUP($A13,'Ledger Summery'!$A$10:$O$26,MATCH(G$8,'Ledger Summery'!$A$8:$O$8,0),0)</f>
        <v>#N/A</v>
      </c>
      <c r="I13" s="17" t="e">
        <f ca="1">SUM(OFFSET('[1]Monthly Summery'!$AK$6,1,0,$B$6-$A$6+1,1))+SUM(OFFSET('[1]Monthly Summery'!$AL$6,1,0,$B$6-$A$6+1,1))</f>
        <v>#VALUE!</v>
      </c>
      <c r="J13" s="17" t="e">
        <f ca="1">SUM(OFFSET('[1]Monthly Summery'!$AZ$6,1,0,$B$6-$A$6+1,1))+SUM(OFFSET('[1]Monthly Summery'!$BA$6,1,0,$B$6-$A$6+1,1))</f>
        <v>#VALUE!</v>
      </c>
      <c r="K13" s="17" t="e">
        <f t="shared" ca="1" si="0"/>
        <v>#VALUE!</v>
      </c>
    </row>
    <row r="16" spans="1:11">
      <c r="A16" s="12" t="s">
        <v>34</v>
      </c>
      <c r="B16" s="12" t="s">
        <v>35</v>
      </c>
      <c r="C16" s="12" t="s">
        <v>37</v>
      </c>
      <c r="D16" s="12" t="s">
        <v>38</v>
      </c>
      <c r="E16" s="13" t="s">
        <v>39</v>
      </c>
      <c r="F16" s="12" t="s">
        <v>40</v>
      </c>
      <c r="G16" s="14" t="s">
        <v>41</v>
      </c>
      <c r="H16" s="12" t="s">
        <v>50</v>
      </c>
      <c r="I16" s="20" t="s">
        <v>51</v>
      </c>
      <c r="J16" t="s">
        <v>52</v>
      </c>
    </row>
    <row r="17" spans="1:10">
      <c r="A17" s="15" t="s">
        <v>42</v>
      </c>
      <c r="B17" s="12" t="e">
        <f>VLOOKUP($A17,'Ledger Summery'!$A$10:$O$26,MATCH(B$8,'Ledger Summery'!$A$8:$O$8,0),0)</f>
        <v>#N/A</v>
      </c>
      <c r="C17" s="86" t="e">
        <f>VLOOKUP($A$6,'[1]Monthly Summery'!A$6:CB$39,MATCH(H17,'[1]Monthly Summery'!$A$6:$P$6,0),0)+I17</f>
        <v>#VALUE!</v>
      </c>
      <c r="D17" s="12"/>
      <c r="E17" s="16" t="e">
        <f ca="1">SUM(OFFSET('[1]Monthly Summery'!$AF$6,1,0,$B$6-$A$6+1,1))+SUM(OFFSET('[1]Monthly Summery'!$AU$6,1,0,$B$6-$A$6+1,1))</f>
        <v>#VALUE!</v>
      </c>
      <c r="F17" s="16" t="e">
        <f ca="1">SUM(OFFSET('[1]Monthly Summery'!$Q$6,1,0,$B$6-$A$6+1,1))</f>
        <v>#VALUE!</v>
      </c>
      <c r="G17" s="86" t="e">
        <f>VLOOKUP($B$6,'[1]Monthly Summery'!A$6:CB$39,62,0)+I17</f>
        <v>#VALUE!</v>
      </c>
      <c r="H17" s="12" t="s">
        <v>19</v>
      </c>
      <c r="I17">
        <v>-42</v>
      </c>
      <c r="J17" t="e">
        <f>G9-G17</f>
        <v>#N/A</v>
      </c>
    </row>
    <row r="18" spans="1:10">
      <c r="A18" s="15" t="s">
        <v>46</v>
      </c>
      <c r="B18" s="12" t="e">
        <f>VLOOKUP($A18,'Ledger Summery'!$A$10:$O$26,MATCH(B$8,'Ledger Summery'!$A$8:$O$8,0),0)</f>
        <v>#N/A</v>
      </c>
      <c r="C18" s="16" t="e">
        <f>VLOOKUP($A$6,'[1]Monthly Summery'!A$6:CB$39,3,0)</f>
        <v>#VALUE!</v>
      </c>
      <c r="D18" s="12"/>
      <c r="E18" s="16" t="e">
        <f ca="1">SUM(OFFSET('[1]Monthly Summery'!$AG$6,1,0,$B$6-$A$6+1,1))+SUM(OFFSET('[1]Monthly Summery'!$AV$6,1,0,$B$6-$A$6+1,1))</f>
        <v>#VALUE!</v>
      </c>
      <c r="F18" s="16" t="e">
        <f ca="1">SUM(OFFSET('[1]Monthly Summery'!$R$6,1,0,$B$6-$A$6+1,1))</f>
        <v>#VALUE!</v>
      </c>
      <c r="G18" s="16" t="e">
        <f>VLOOKUP($B$6,'[1]Monthly Summery'!A$6:CB$39,63,0)</f>
        <v>#VALUE!</v>
      </c>
      <c r="H18" s="12" t="s">
        <v>20</v>
      </c>
      <c r="J18" t="e">
        <f t="shared" ref="J18:J21" si="1">G10-G18</f>
        <v>#N/A</v>
      </c>
    </row>
    <row r="19" spans="1:10">
      <c r="A19" s="15" t="s">
        <v>45</v>
      </c>
      <c r="B19" s="12" t="e">
        <f>VLOOKUP($A19,'Ledger Summery'!$A$10:$O$26,MATCH(B$8,'Ledger Summery'!$A$8:$O$8,0),0)</f>
        <v>#N/A</v>
      </c>
      <c r="C19" s="16" t="e">
        <f>VLOOKUP($A$6,'[1]Monthly Summery'!A$6:CB$39,4,0)+VLOOKUP($A$6,'[1]Monthly Summery'!A$6:CB$39,5,0)</f>
        <v>#VALUE!</v>
      </c>
      <c r="D19" s="12"/>
      <c r="E19" s="16" t="e">
        <f ca="1">SUM(OFFSET('[1]Monthly Summery'!$AH$6,1,0,$B$6-$A$6+1,1))+SUM(OFFSET('[1]Monthly Summery'!$AW$6,1,0,$B$6-$A$6+1,1))+SUM(OFFSET('[1]Monthly Summery'!$AI$6,1,0,$B$6-$A$6+1,1))+SUM(OFFSET('[1]Monthly Summery'!$AX$6,1,0,$B$6-$A$6+1,1))</f>
        <v>#VALUE!</v>
      </c>
      <c r="F19" s="16" t="e">
        <f ca="1">SUM(OFFSET('[1]Monthly Summery'!$S$6,1,0,$B$6-$A$6+1,1))+SUM(OFFSET('[1]Monthly Summery'!$T$6,1,0,$B$6-$A$6+1,1))</f>
        <v>#VALUE!</v>
      </c>
      <c r="G19" s="16" t="e">
        <f>VLOOKUP($B$6,'[1]Monthly Summery'!A$6:CB$39,64,0)+VLOOKUP($B$6,'[1]Monthly Summery'!A$6:CB$39,65,0)</f>
        <v>#VALUE!</v>
      </c>
      <c r="H19" s="12" t="s">
        <v>21</v>
      </c>
      <c r="J19" t="e">
        <f t="shared" si="1"/>
        <v>#N/A</v>
      </c>
    </row>
    <row r="20" spans="1:10">
      <c r="A20" s="15" t="s">
        <v>43</v>
      </c>
      <c r="B20" s="12" t="e">
        <f>VLOOKUP($A20,'Ledger Summery'!$A$10:$O$26,MATCH(B$8,'Ledger Summery'!$A$8:$O$8,0),0)</f>
        <v>#N/A</v>
      </c>
      <c r="C20" s="16" t="e">
        <f>VLOOKUP($A$6,'[1]Monthly Summery'!A$6:CB$39,MATCH(H20,'[1]Monthly Summery'!$A$6:$P$6,0),0)</f>
        <v>#VALUE!</v>
      </c>
      <c r="D20" s="12"/>
      <c r="E20" s="16" t="e">
        <f ca="1">SUM(OFFSET('[1]Monthly Summery'!$AJ$6,1,0,$B$6-$A$6+1,1))+SUM(OFFSET('[1]Monthly Summery'!$AY$6,1,0,$B$6-$A$6+1,1))</f>
        <v>#VALUE!</v>
      </c>
      <c r="F20" s="16" t="e">
        <f ca="1">SUM(OFFSET('[1]Monthly Summery'!$U$6,1,0,$B$6-$A$6+1,1))</f>
        <v>#VALUE!</v>
      </c>
      <c r="G20" s="16" t="e">
        <f>VLOOKUP($B$6,'[1]Monthly Summery'!A$6:CB$39,66,0)</f>
        <v>#VALUE!</v>
      </c>
      <c r="H20" s="12" t="s">
        <v>23</v>
      </c>
      <c r="J20" t="e">
        <f t="shared" si="1"/>
        <v>#N/A</v>
      </c>
    </row>
    <row r="21" spans="1:10">
      <c r="A21" s="15" t="s">
        <v>44</v>
      </c>
      <c r="B21" s="12" t="e">
        <f>VLOOKUP($A21,'Ledger Summery'!$A$10:$O$26,MATCH(B$8,'Ledger Summery'!$A$8:$O$8,0),0)</f>
        <v>#N/A</v>
      </c>
      <c r="C21" s="16" t="e">
        <f>VLOOKUP($A$6,'[1]Monthly Summery'!A$6:CB$39,7,0)+VLOOKUP($A$6,'[1]Monthly Summery'!A$6:CB$39,8,0)</f>
        <v>#VALUE!</v>
      </c>
      <c r="D21" s="12"/>
      <c r="E21" s="16" t="e">
        <f ca="1">SUM(OFFSET('[1]Monthly Summery'!$AK$6,1,0,$B$6-$A$6+1,1))+SUM(OFFSET('[1]Monthly Summery'!$AZ$6,1,0,$B$6-$A$6+1,1))+SUM(OFFSET('[1]Monthly Summery'!$AL$6,1,0,$B$6-$A$6+1,1))+SUM(OFFSET('[1]Monthly Summery'!$BA$6,1,0,$B$6-$A$6+1,1))</f>
        <v>#VALUE!</v>
      </c>
      <c r="F21" s="16" t="e">
        <f ca="1">SUM(OFFSET('[1]Monthly Summery'!$V$6,1,0,$B$6-$A$6+1,1))+SUM(OFFSET('[1]Monthly Summery'!$W$6,1,0,$B$6-$A$6+1,1))</f>
        <v>#VALUE!</v>
      </c>
      <c r="G21" s="16" t="e">
        <f>VLOOKUP($B$6,'[1]Monthly Summery'!A$6:CB$39,67,0)+VLOOKUP($B$6,'[1]Monthly Summery'!A$6:CB$39,68,0)</f>
        <v>#VALUE!</v>
      </c>
      <c r="H21" s="12" t="s">
        <v>24</v>
      </c>
      <c r="J21" t="e">
        <f t="shared" si="1"/>
        <v>#N/A</v>
      </c>
    </row>
  </sheetData>
  <conditionalFormatting sqref="C17:C21">
    <cfRule type="expression" dxfId="5" priority="4">
      <formula>$C17-$C9=0</formula>
    </cfRule>
  </conditionalFormatting>
  <conditionalFormatting sqref="D17:D21">
    <cfRule type="expression" dxfId="4" priority="1">
      <formula>D17-D9=0</formula>
    </cfRule>
  </conditionalFormatting>
  <conditionalFormatting sqref="E17:E21">
    <cfRule type="expression" dxfId="3" priority="3">
      <formula>$E17-$E9</formula>
    </cfRule>
  </conditionalFormatting>
  <conditionalFormatting sqref="F17:G21">
    <cfRule type="expression" dxfId="2" priority="2">
      <formula>F17-F9=0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L219"/>
  <sheetViews>
    <sheetView topLeftCell="B1" workbookViewId="0">
      <selection activeCell="B1" sqref="B1"/>
    </sheetView>
  </sheetViews>
  <sheetFormatPr defaultColWidth="12.140625" defaultRowHeight="15"/>
  <cols>
    <col min="1" max="1" width="19.42578125" hidden="1" customWidth="1"/>
    <col min="2" max="2" width="14.140625" customWidth="1"/>
    <col min="3" max="3" width="39.85546875" customWidth="1"/>
    <col min="4" max="4" width="4.140625" customWidth="1"/>
    <col min="5" max="5" width="23.85546875" customWidth="1"/>
    <col min="6" max="6" width="18.85546875" customWidth="1"/>
    <col min="7" max="7" width="15.140625" customWidth="1"/>
    <col min="8" max="8" width="10.7109375" customWidth="1"/>
    <col min="9" max="9" width="6.140625" customWidth="1"/>
    <col min="10" max="11" width="7.85546875" customWidth="1"/>
    <col min="12" max="12" width="10.85546875" customWidth="1"/>
  </cols>
  <sheetData>
    <row r="1" spans="1:12" ht="15.75" customHeight="1">
      <c r="B1" s="145" t="s">
        <v>0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ht="15" customHeight="1">
      <c r="B2" s="146" t="s">
        <v>1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1:12" ht="15" customHeight="1">
      <c r="B3" s="147" t="s">
        <v>53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1:12" ht="15" customHeight="1">
      <c r="B4" s="148" t="s">
        <v>84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5" spans="1:12">
      <c r="B5" s="87" t="s">
        <v>54</v>
      </c>
      <c r="C5" s="87" t="s">
        <v>85</v>
      </c>
    </row>
    <row r="6" spans="1:12">
      <c r="B6" s="87" t="s">
        <v>56</v>
      </c>
      <c r="C6" s="87" t="s">
        <v>86</v>
      </c>
    </row>
    <row r="7" spans="1:12" ht="15" customHeight="1">
      <c r="B7" s="149" t="s">
        <v>87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</row>
    <row r="8" spans="1:12">
      <c r="B8" s="10" t="s">
        <v>34</v>
      </c>
      <c r="C8" s="10" t="s">
        <v>35</v>
      </c>
      <c r="D8" s="10" t="s">
        <v>36</v>
      </c>
      <c r="E8" s="10" t="s">
        <v>54</v>
      </c>
      <c r="F8" s="10" t="s">
        <v>58</v>
      </c>
      <c r="G8" s="10" t="s">
        <v>59</v>
      </c>
      <c r="H8" s="10" t="s">
        <v>56</v>
      </c>
      <c r="I8" s="10" t="s">
        <v>60</v>
      </c>
      <c r="J8" s="10" t="s">
        <v>61</v>
      </c>
      <c r="K8" s="10" t="s">
        <v>62</v>
      </c>
      <c r="L8" s="88" t="s">
        <v>63</v>
      </c>
    </row>
    <row r="9" spans="1:12" ht="15" customHeight="1">
      <c r="A9" t="str">
        <f>B9&amp;H9</f>
        <v>SCRP.IDST.0001CI - WAST</v>
      </c>
      <c r="B9" s="11" t="s">
        <v>88</v>
      </c>
      <c r="C9" s="11" t="s">
        <v>89</v>
      </c>
      <c r="D9" s="89" t="s">
        <v>90</v>
      </c>
      <c r="E9" s="11" t="s">
        <v>91</v>
      </c>
      <c r="F9" s="11" t="s">
        <v>92</v>
      </c>
      <c r="G9" s="11" t="s">
        <v>93</v>
      </c>
      <c r="H9" s="11" t="s">
        <v>94</v>
      </c>
      <c r="I9" s="90"/>
      <c r="J9" s="91">
        <v>22.91</v>
      </c>
      <c r="K9" s="91">
        <v>0</v>
      </c>
      <c r="L9" s="92">
        <v>0</v>
      </c>
    </row>
    <row r="10" spans="1:12" ht="24" customHeight="1">
      <c r="A10" t="str">
        <f t="shared" ref="A10:A51" si="0">B10&amp;H10</f>
        <v>SPMC.SHFT.4476</v>
      </c>
      <c r="B10" s="11" t="s">
        <v>95</v>
      </c>
      <c r="C10" s="11" t="s">
        <v>96</v>
      </c>
      <c r="D10" s="89" t="s">
        <v>97</v>
      </c>
      <c r="E10" s="11" t="s">
        <v>98</v>
      </c>
      <c r="F10" s="11" t="s">
        <v>99</v>
      </c>
      <c r="G10" s="11" t="s">
        <v>100</v>
      </c>
      <c r="H10" s="90"/>
      <c r="I10" s="90"/>
      <c r="J10" s="91">
        <v>0</v>
      </c>
      <c r="K10" s="91">
        <v>0</v>
      </c>
      <c r="L10" s="92">
        <v>0</v>
      </c>
    </row>
    <row r="11" spans="1:12">
      <c r="A11" t="str">
        <f t="shared" si="0"/>
        <v>RMTL.CLNK.0001CI - RM</v>
      </c>
      <c r="B11" s="11" t="s">
        <v>101</v>
      </c>
      <c r="C11" s="11" t="s">
        <v>102</v>
      </c>
      <c r="D11" s="89" t="s">
        <v>90</v>
      </c>
      <c r="E11" s="11" t="s">
        <v>103</v>
      </c>
      <c r="F11" s="11" t="s">
        <v>104</v>
      </c>
      <c r="G11" s="11" t="s">
        <v>105</v>
      </c>
      <c r="H11" s="11" t="s">
        <v>64</v>
      </c>
      <c r="I11" s="90"/>
      <c r="J11" s="91">
        <v>16443.537</v>
      </c>
      <c r="K11" s="93">
        <v>6186.61</v>
      </c>
      <c r="L11" s="94">
        <v>101729745.51000001</v>
      </c>
    </row>
    <row r="12" spans="1:12">
      <c r="A12" t="str">
        <f t="shared" si="0"/>
        <v>RMTL.FLSH.0001</v>
      </c>
      <c r="B12" s="11" t="s">
        <v>106</v>
      </c>
      <c r="C12" s="11" t="s">
        <v>107</v>
      </c>
      <c r="D12" s="89" t="s">
        <v>90</v>
      </c>
      <c r="E12" s="11" t="s">
        <v>103</v>
      </c>
      <c r="F12" s="11" t="s">
        <v>105</v>
      </c>
      <c r="G12" s="11" t="s">
        <v>105</v>
      </c>
      <c r="H12" s="90"/>
      <c r="I12" s="90"/>
      <c r="J12" s="91">
        <v>0</v>
      </c>
      <c r="K12" s="91">
        <v>0</v>
      </c>
      <c r="L12" s="92">
        <v>0</v>
      </c>
    </row>
    <row r="13" spans="1:12" ht="15" customHeight="1">
      <c r="A13" t="str">
        <f t="shared" si="0"/>
        <v>RMTL.GYPS.0001CI - RM</v>
      </c>
      <c r="B13" s="11" t="s">
        <v>108</v>
      </c>
      <c r="C13" s="11" t="s">
        <v>109</v>
      </c>
      <c r="D13" s="89" t="s">
        <v>90</v>
      </c>
      <c r="E13" s="11" t="s">
        <v>103</v>
      </c>
      <c r="F13" s="11" t="s">
        <v>104</v>
      </c>
      <c r="G13" s="11" t="s">
        <v>105</v>
      </c>
      <c r="H13" s="11" t="s">
        <v>64</v>
      </c>
      <c r="I13" s="90"/>
      <c r="J13" s="91">
        <v>5038.04</v>
      </c>
      <c r="K13" s="93">
        <v>3889.14</v>
      </c>
      <c r="L13" s="94">
        <v>19593658.100000001</v>
      </c>
    </row>
    <row r="14" spans="1:12" ht="15" customHeight="1">
      <c r="A14" t="str">
        <f t="shared" si="0"/>
        <v>RMTL.LIME.0001CI - RM</v>
      </c>
      <c r="B14" s="11" t="s">
        <v>110</v>
      </c>
      <c r="C14" s="11" t="s">
        <v>111</v>
      </c>
      <c r="D14" s="89" t="s">
        <v>90</v>
      </c>
      <c r="E14" s="11" t="s">
        <v>103</v>
      </c>
      <c r="F14" s="11" t="s">
        <v>104</v>
      </c>
      <c r="G14" s="11" t="s">
        <v>105</v>
      </c>
      <c r="H14" s="11" t="s">
        <v>64</v>
      </c>
      <c r="I14" s="90"/>
      <c r="J14" s="91">
        <v>1488.46</v>
      </c>
      <c r="K14" s="93">
        <v>2720.29</v>
      </c>
      <c r="L14" s="94">
        <v>4049049.8</v>
      </c>
    </row>
    <row r="15" spans="1:12">
      <c r="A15" t="str">
        <f t="shared" si="0"/>
        <v>RMTL.SLAG.0001CI - RM</v>
      </c>
      <c r="B15" s="11" t="s">
        <v>112</v>
      </c>
      <c r="C15" s="11" t="s">
        <v>113</v>
      </c>
      <c r="D15" s="89" t="s">
        <v>90</v>
      </c>
      <c r="E15" s="11" t="s">
        <v>103</v>
      </c>
      <c r="F15" s="11" t="s">
        <v>104</v>
      </c>
      <c r="G15" s="11" t="s">
        <v>105</v>
      </c>
      <c r="H15" s="11" t="s">
        <v>64</v>
      </c>
      <c r="I15" s="90"/>
      <c r="J15" s="91">
        <v>3966.9</v>
      </c>
      <c r="K15" s="93">
        <v>2814.13</v>
      </c>
      <c r="L15" s="94">
        <v>11163364.640000001</v>
      </c>
    </row>
    <row r="16" spans="1:12" ht="24" customHeight="1">
      <c r="A16" t="str">
        <f t="shared" si="0"/>
        <v>RMTL.POZO.0001</v>
      </c>
      <c r="B16" s="11" t="s">
        <v>114</v>
      </c>
      <c r="C16" s="11" t="s">
        <v>115</v>
      </c>
      <c r="D16" s="89" t="s">
        <v>90</v>
      </c>
      <c r="E16" s="11" t="s">
        <v>103</v>
      </c>
      <c r="F16" s="11" t="s">
        <v>104</v>
      </c>
      <c r="G16" s="11" t="s">
        <v>116</v>
      </c>
      <c r="H16" s="90"/>
      <c r="I16" s="90"/>
      <c r="J16" s="91">
        <v>0</v>
      </c>
      <c r="K16" s="91">
        <v>0</v>
      </c>
      <c r="L16" s="92">
        <v>0</v>
      </c>
    </row>
    <row r="17" spans="1:12" ht="15" customHeight="1">
      <c r="A17" t="str">
        <f t="shared" si="0"/>
        <v>EBAG.CMNT.0243CI - SFLR</v>
      </c>
      <c r="B17" s="11" t="s">
        <v>42</v>
      </c>
      <c r="C17" s="11" t="s">
        <v>117</v>
      </c>
      <c r="D17" s="89" t="s">
        <v>97</v>
      </c>
      <c r="E17" s="11" t="s">
        <v>118</v>
      </c>
      <c r="F17" s="11" t="s">
        <v>118</v>
      </c>
      <c r="G17" s="11" t="s">
        <v>119</v>
      </c>
      <c r="H17" s="11" t="s">
        <v>65</v>
      </c>
      <c r="I17" s="90"/>
      <c r="J17" s="91">
        <v>37598</v>
      </c>
      <c r="K17" s="91">
        <v>21.78</v>
      </c>
      <c r="L17" s="94">
        <v>818990.47</v>
      </c>
    </row>
    <row r="18" spans="1:12" ht="24" customHeight="1">
      <c r="A18" t="str">
        <f t="shared" si="0"/>
        <v>EBAG.CMNT.0243CI - VAT</v>
      </c>
      <c r="B18" s="11" t="s">
        <v>42</v>
      </c>
      <c r="C18" s="11" t="s">
        <v>117</v>
      </c>
      <c r="D18" s="89" t="s">
        <v>97</v>
      </c>
      <c r="E18" s="11" t="s">
        <v>118</v>
      </c>
      <c r="F18" s="11" t="s">
        <v>118</v>
      </c>
      <c r="G18" s="11" t="s">
        <v>119</v>
      </c>
      <c r="H18" s="11" t="s">
        <v>120</v>
      </c>
      <c r="I18" s="90"/>
      <c r="J18" s="91">
        <v>57</v>
      </c>
      <c r="K18" s="91">
        <v>21.78</v>
      </c>
      <c r="L18" s="94">
        <v>1241.6199999999999</v>
      </c>
    </row>
    <row r="19" spans="1:12" ht="24" customHeight="1">
      <c r="A19" t="str">
        <f t="shared" si="0"/>
        <v>EBAG.CMNT.0243CI - RM</v>
      </c>
      <c r="B19" s="11" t="s">
        <v>42</v>
      </c>
      <c r="C19" s="11" t="s">
        <v>117</v>
      </c>
      <c r="D19" s="89" t="s">
        <v>97</v>
      </c>
      <c r="E19" s="11" t="s">
        <v>118</v>
      </c>
      <c r="F19" s="11" t="s">
        <v>118</v>
      </c>
      <c r="G19" s="11" t="s">
        <v>119</v>
      </c>
      <c r="H19" s="11" t="s">
        <v>64</v>
      </c>
      <c r="I19" s="90"/>
      <c r="J19" s="91">
        <v>159634</v>
      </c>
      <c r="K19" s="91">
        <v>21.78</v>
      </c>
      <c r="L19" s="94">
        <v>3477278.69</v>
      </c>
    </row>
    <row r="20" spans="1:12" ht="24" customHeight="1">
      <c r="A20" t="str">
        <f t="shared" si="0"/>
        <v>EBAG.CMNT.0244CI - RM</v>
      </c>
      <c r="B20" s="11" t="s">
        <v>43</v>
      </c>
      <c r="C20" s="11" t="s">
        <v>121</v>
      </c>
      <c r="D20" s="89" t="s">
        <v>97</v>
      </c>
      <c r="E20" s="11" t="s">
        <v>118</v>
      </c>
      <c r="F20" s="11" t="s">
        <v>118</v>
      </c>
      <c r="G20" s="11" t="s">
        <v>119</v>
      </c>
      <c r="H20" s="11" t="s">
        <v>64</v>
      </c>
      <c r="I20" s="90"/>
      <c r="J20" s="91">
        <v>19201</v>
      </c>
      <c r="K20" s="91">
        <v>21.8</v>
      </c>
      <c r="L20" s="94">
        <v>418602.15</v>
      </c>
    </row>
    <row r="21" spans="1:12" ht="24" customHeight="1">
      <c r="A21" t="str">
        <f t="shared" si="0"/>
        <v>EBAG.CMNT.0244CI - SFLR</v>
      </c>
      <c r="B21" s="11" t="s">
        <v>43</v>
      </c>
      <c r="C21" s="11" t="s">
        <v>121</v>
      </c>
      <c r="D21" s="89" t="s">
        <v>97</v>
      </c>
      <c r="E21" s="11" t="s">
        <v>118</v>
      </c>
      <c r="F21" s="11" t="s">
        <v>118</v>
      </c>
      <c r="G21" s="11" t="s">
        <v>119</v>
      </c>
      <c r="H21" s="11" t="s">
        <v>65</v>
      </c>
      <c r="I21" s="90"/>
      <c r="J21" s="91">
        <v>4920</v>
      </c>
      <c r="K21" s="91">
        <v>21.8</v>
      </c>
      <c r="L21" s="94">
        <v>107261.22</v>
      </c>
    </row>
    <row r="22" spans="1:12" ht="24" customHeight="1">
      <c r="A22" t="str">
        <f t="shared" si="0"/>
        <v>FGCM.BULK.0003CI - FG</v>
      </c>
      <c r="B22" s="11" t="s">
        <v>66</v>
      </c>
      <c r="C22" s="11" t="s">
        <v>122</v>
      </c>
      <c r="D22" s="89" t="s">
        <v>90</v>
      </c>
      <c r="E22" s="11" t="s">
        <v>123</v>
      </c>
      <c r="F22" s="11" t="s">
        <v>124</v>
      </c>
      <c r="G22" s="11" t="s">
        <v>125</v>
      </c>
      <c r="H22" s="11" t="s">
        <v>67</v>
      </c>
      <c r="I22" s="90"/>
      <c r="J22" s="91">
        <v>774.52499999999998</v>
      </c>
      <c r="K22" s="93">
        <v>6238.15</v>
      </c>
      <c r="L22" s="94">
        <v>4831605.09</v>
      </c>
    </row>
    <row r="23" spans="1:12" ht="24" customHeight="1">
      <c r="A23" t="str">
        <f t="shared" si="0"/>
        <v>FGCM.BULK.0001CI - FG</v>
      </c>
      <c r="B23" s="11" t="s">
        <v>68</v>
      </c>
      <c r="C23" s="11" t="s">
        <v>126</v>
      </c>
      <c r="D23" s="89" t="s">
        <v>90</v>
      </c>
      <c r="E23" s="11" t="s">
        <v>123</v>
      </c>
      <c r="F23" s="11" t="s">
        <v>124</v>
      </c>
      <c r="G23" s="11" t="s">
        <v>125</v>
      </c>
      <c r="H23" s="11" t="s">
        <v>67</v>
      </c>
      <c r="I23" s="90"/>
      <c r="J23" s="91">
        <v>2578.4250000000002</v>
      </c>
      <c r="K23" s="93">
        <v>5402.17</v>
      </c>
      <c r="L23" s="94">
        <v>13929078.060000001</v>
      </c>
    </row>
    <row r="24" spans="1:12" ht="24" customHeight="1">
      <c r="A24" t="str">
        <f t="shared" si="0"/>
        <v>FGCM.BULK.0002CI - FG</v>
      </c>
      <c r="B24" s="11" t="s">
        <v>69</v>
      </c>
      <c r="C24" s="11" t="s">
        <v>127</v>
      </c>
      <c r="D24" s="89" t="s">
        <v>90</v>
      </c>
      <c r="E24" s="11" t="s">
        <v>123</v>
      </c>
      <c r="F24" s="11" t="s">
        <v>124</v>
      </c>
      <c r="G24" s="11" t="s">
        <v>125</v>
      </c>
      <c r="H24" s="11" t="s">
        <v>67</v>
      </c>
      <c r="I24" s="90"/>
      <c r="J24" s="91">
        <v>1041.19</v>
      </c>
      <c r="K24" s="93">
        <v>5424.08</v>
      </c>
      <c r="L24" s="94">
        <v>5647499.0999999996</v>
      </c>
    </row>
    <row r="25" spans="1:12" ht="24" customHeight="1">
      <c r="A25" t="str">
        <f t="shared" si="0"/>
        <v>FGCM.PCKT.0001CI - FG</v>
      </c>
      <c r="B25" s="11" t="s">
        <v>70</v>
      </c>
      <c r="C25" s="11" t="s">
        <v>9</v>
      </c>
      <c r="D25" s="89" t="s">
        <v>128</v>
      </c>
      <c r="E25" s="11" t="s">
        <v>123</v>
      </c>
      <c r="F25" s="11" t="s">
        <v>129</v>
      </c>
      <c r="G25" s="11" t="s">
        <v>130</v>
      </c>
      <c r="H25" s="11" t="s">
        <v>67</v>
      </c>
      <c r="I25" s="90"/>
      <c r="J25" s="91">
        <v>31149</v>
      </c>
      <c r="K25" s="91">
        <v>292.33</v>
      </c>
      <c r="L25" s="94">
        <v>9105704.6300000008</v>
      </c>
    </row>
    <row r="26" spans="1:12" ht="24" customHeight="1">
      <c r="A26" t="str">
        <f t="shared" si="0"/>
        <v>FGCM.PCKT.0001CI - STG</v>
      </c>
      <c r="B26" s="11" t="s">
        <v>70</v>
      </c>
      <c r="C26" s="11" t="s">
        <v>9</v>
      </c>
      <c r="D26" s="89" t="s">
        <v>128</v>
      </c>
      <c r="E26" s="11" t="s">
        <v>123</v>
      </c>
      <c r="F26" s="11" t="s">
        <v>129</v>
      </c>
      <c r="G26" s="11" t="s">
        <v>130</v>
      </c>
      <c r="H26" s="11" t="s">
        <v>159</v>
      </c>
      <c r="I26" s="90"/>
      <c r="J26" s="91">
        <v>100</v>
      </c>
      <c r="K26" s="91">
        <v>292.33</v>
      </c>
      <c r="L26" s="94">
        <v>29232.74</v>
      </c>
    </row>
    <row r="27" spans="1:12" ht="15" customHeight="1">
      <c r="A27" t="str">
        <f t="shared" si="0"/>
        <v>FGCM.PCKT.0002CI - FG</v>
      </c>
      <c r="B27" s="11" t="s">
        <v>71</v>
      </c>
      <c r="C27" s="11" t="s">
        <v>27</v>
      </c>
      <c r="D27" s="89" t="s">
        <v>128</v>
      </c>
      <c r="E27" s="11" t="s">
        <v>123</v>
      </c>
      <c r="F27" s="11" t="s">
        <v>129</v>
      </c>
      <c r="G27" s="11" t="s">
        <v>130</v>
      </c>
      <c r="H27" s="11" t="s">
        <v>67</v>
      </c>
      <c r="I27" s="90"/>
      <c r="J27" s="91">
        <v>7801</v>
      </c>
      <c r="K27" s="91">
        <v>293.44</v>
      </c>
      <c r="L27" s="94">
        <v>2289160.39</v>
      </c>
    </row>
    <row r="28" spans="1:12" ht="15" customHeight="1">
      <c r="A28" t="str">
        <f t="shared" si="0"/>
        <v>FGCM.PCKT.0003CI - FG</v>
      </c>
      <c r="B28" s="11" t="s">
        <v>72</v>
      </c>
      <c r="C28" s="11" t="s">
        <v>10</v>
      </c>
      <c r="D28" s="89" t="s">
        <v>128</v>
      </c>
      <c r="E28" s="11" t="s">
        <v>123</v>
      </c>
      <c r="F28" s="11" t="s">
        <v>129</v>
      </c>
      <c r="G28" s="11" t="s">
        <v>130</v>
      </c>
      <c r="H28" s="11" t="s">
        <v>67</v>
      </c>
      <c r="I28" s="90"/>
      <c r="J28" s="91">
        <v>8000</v>
      </c>
      <c r="K28" s="91">
        <v>335.54</v>
      </c>
      <c r="L28" s="94">
        <v>2684352.7200000002</v>
      </c>
    </row>
    <row r="29" spans="1:12" ht="24" customHeight="1">
      <c r="A29" t="str">
        <f t="shared" si="0"/>
        <v>FGCM.PCKT.0006CI - FG</v>
      </c>
      <c r="B29" s="11" t="s">
        <v>73</v>
      </c>
      <c r="C29" s="11" t="s">
        <v>29</v>
      </c>
      <c r="D29" s="89" t="s">
        <v>128</v>
      </c>
      <c r="E29" s="11" t="s">
        <v>123</v>
      </c>
      <c r="F29" s="11" t="s">
        <v>129</v>
      </c>
      <c r="G29" s="11" t="s">
        <v>130</v>
      </c>
      <c r="H29" s="11" t="s">
        <v>67</v>
      </c>
      <c r="I29" s="90"/>
      <c r="J29" s="91">
        <v>5000</v>
      </c>
      <c r="K29" s="91">
        <v>332.15</v>
      </c>
      <c r="L29" s="94">
        <v>1660758.55</v>
      </c>
    </row>
    <row r="30" spans="1:12" ht="15" customHeight="1">
      <c r="A30" t="str">
        <f t="shared" si="0"/>
        <v>FGCM.PCKT.0008CI - FG</v>
      </c>
      <c r="B30" s="11" t="s">
        <v>74</v>
      </c>
      <c r="C30" s="11" t="s">
        <v>28</v>
      </c>
      <c r="D30" s="89" t="s">
        <v>128</v>
      </c>
      <c r="E30" s="11" t="s">
        <v>123</v>
      </c>
      <c r="F30" s="11" t="s">
        <v>129</v>
      </c>
      <c r="G30" s="11" t="s">
        <v>130</v>
      </c>
      <c r="H30" s="11" t="s">
        <v>67</v>
      </c>
      <c r="I30" s="90"/>
      <c r="J30" s="91">
        <v>5000</v>
      </c>
      <c r="K30" s="91">
        <v>305.89999999999998</v>
      </c>
      <c r="L30" s="94">
        <v>1529508.2</v>
      </c>
    </row>
    <row r="31" spans="1:12" ht="24" customHeight="1">
      <c r="A31" t="str">
        <f t="shared" si="0"/>
        <v>SCRP.BBAG.0001CI - WAST</v>
      </c>
      <c r="B31" s="11" t="s">
        <v>75</v>
      </c>
      <c r="C31" s="11" t="s">
        <v>14</v>
      </c>
      <c r="D31" s="89" t="s">
        <v>97</v>
      </c>
      <c r="E31" s="11" t="s">
        <v>91</v>
      </c>
      <c r="F31" s="11" t="s">
        <v>92</v>
      </c>
      <c r="G31" s="11" t="s">
        <v>131</v>
      </c>
      <c r="H31" s="11" t="s">
        <v>94</v>
      </c>
      <c r="I31" s="90"/>
      <c r="J31" s="91">
        <v>4384.2</v>
      </c>
      <c r="K31" s="91">
        <v>0</v>
      </c>
      <c r="L31" s="92">
        <v>0</v>
      </c>
    </row>
    <row r="32" spans="1:12" ht="15" customHeight="1">
      <c r="A32" t="str">
        <f t="shared" si="0"/>
        <v>SPEL.PUMP.6032</v>
      </c>
      <c r="B32" s="11" t="s">
        <v>132</v>
      </c>
      <c r="C32" s="11" t="s">
        <v>133</v>
      </c>
      <c r="D32" s="89" t="s">
        <v>97</v>
      </c>
      <c r="E32" s="11" t="s">
        <v>134</v>
      </c>
      <c r="F32" s="11" t="s">
        <v>99</v>
      </c>
      <c r="G32" s="11" t="s">
        <v>135</v>
      </c>
      <c r="H32" s="90"/>
      <c r="I32" s="90"/>
      <c r="J32" s="91">
        <v>0</v>
      </c>
      <c r="K32" s="91">
        <v>0</v>
      </c>
      <c r="L32" s="92">
        <v>0</v>
      </c>
    </row>
    <row r="33" spans="1:12" ht="24" customHeight="1">
      <c r="A33" t="str">
        <f t="shared" si="0"/>
        <v>CNMC.GMDA.0005</v>
      </c>
      <c r="B33" s="11" t="s">
        <v>136</v>
      </c>
      <c r="C33" s="11" t="s">
        <v>137</v>
      </c>
      <c r="D33" s="89" t="s">
        <v>138</v>
      </c>
      <c r="E33" s="11" t="s">
        <v>139</v>
      </c>
      <c r="F33" s="11" t="s">
        <v>140</v>
      </c>
      <c r="G33" s="11" t="s">
        <v>141</v>
      </c>
      <c r="H33" s="90"/>
      <c r="I33" s="90"/>
      <c r="J33" s="91">
        <v>0</v>
      </c>
      <c r="K33" s="91">
        <v>0</v>
      </c>
      <c r="L33" s="92">
        <v>0</v>
      </c>
    </row>
    <row r="34" spans="1:12" ht="15" customHeight="1">
      <c r="A34" t="str">
        <f t="shared" si="0"/>
        <v>CNPD.GMDA.0006CI - RM</v>
      </c>
      <c r="B34" s="11" t="s">
        <v>142</v>
      </c>
      <c r="C34" s="11" t="s">
        <v>143</v>
      </c>
      <c r="D34" s="89" t="s">
        <v>138</v>
      </c>
      <c r="E34" s="11" t="s">
        <v>144</v>
      </c>
      <c r="F34" s="11" t="s">
        <v>144</v>
      </c>
      <c r="G34" s="11" t="s">
        <v>145</v>
      </c>
      <c r="H34" s="11" t="s">
        <v>64</v>
      </c>
      <c r="I34" s="90"/>
      <c r="J34" s="91">
        <v>16858</v>
      </c>
      <c r="K34" s="91">
        <v>176.54</v>
      </c>
      <c r="L34" s="94">
        <v>2976174.54</v>
      </c>
    </row>
    <row r="35" spans="1:12" ht="15" customHeight="1">
      <c r="A35" t="str">
        <f t="shared" si="0"/>
        <v>CNFL.DISL.0001CI - RM</v>
      </c>
      <c r="B35" s="11" t="s">
        <v>146</v>
      </c>
      <c r="C35" s="11" t="s">
        <v>147</v>
      </c>
      <c r="D35" s="89" t="s">
        <v>148</v>
      </c>
      <c r="E35" s="11" t="s">
        <v>149</v>
      </c>
      <c r="F35" s="11" t="s">
        <v>150</v>
      </c>
      <c r="G35" s="11" t="s">
        <v>151</v>
      </c>
      <c r="H35" s="11" t="s">
        <v>64</v>
      </c>
      <c r="I35" s="90"/>
      <c r="J35" s="91">
        <v>12902</v>
      </c>
      <c r="K35" s="91">
        <v>106.92</v>
      </c>
      <c r="L35" s="94">
        <v>1379481.32</v>
      </c>
    </row>
    <row r="36" spans="1:12" ht="24" customHeight="1">
      <c r="A36" t="str">
        <f t="shared" si="0"/>
        <v>RMTL.COAL.0001CI - RM</v>
      </c>
      <c r="B36" s="11" t="s">
        <v>152</v>
      </c>
      <c r="C36" s="11" t="s">
        <v>153</v>
      </c>
      <c r="D36" s="89" t="s">
        <v>90</v>
      </c>
      <c r="E36" s="11" t="s">
        <v>149</v>
      </c>
      <c r="F36" s="11" t="s">
        <v>105</v>
      </c>
      <c r="G36" s="11" t="s">
        <v>151</v>
      </c>
      <c r="H36" s="11" t="s">
        <v>64</v>
      </c>
      <c r="I36" s="90"/>
      <c r="J36" s="91">
        <v>542.17999999999995</v>
      </c>
      <c r="K36" s="93">
        <v>17820.93</v>
      </c>
      <c r="L36" s="94">
        <v>9662151.2599999998</v>
      </c>
    </row>
    <row r="37" spans="1:12" ht="24" customHeight="1">
      <c r="A37" t="str">
        <f t="shared" si="0"/>
        <v>EBAG.CMNT.0270CI - RM</v>
      </c>
      <c r="B37" s="11" t="s">
        <v>44</v>
      </c>
      <c r="C37" s="11" t="s">
        <v>154</v>
      </c>
      <c r="D37" s="89" t="s">
        <v>97</v>
      </c>
      <c r="E37" s="11" t="s">
        <v>118</v>
      </c>
      <c r="F37" s="11" t="s">
        <v>118</v>
      </c>
      <c r="G37" s="11" t="s">
        <v>155</v>
      </c>
      <c r="H37" s="11" t="s">
        <v>64</v>
      </c>
      <c r="I37" s="90"/>
      <c r="J37" s="91">
        <v>3397</v>
      </c>
      <c r="K37" s="91">
        <v>14.43</v>
      </c>
      <c r="L37" s="94">
        <v>49011.199999999997</v>
      </c>
    </row>
    <row r="38" spans="1:12" ht="24" customHeight="1">
      <c r="A38" t="str">
        <f t="shared" si="0"/>
        <v>EBAG.CMNT.0270CI - SFLR</v>
      </c>
      <c r="B38" s="11" t="s">
        <v>44</v>
      </c>
      <c r="C38" s="11" t="s">
        <v>154</v>
      </c>
      <c r="D38" s="89" t="s">
        <v>97</v>
      </c>
      <c r="E38" s="11" t="s">
        <v>118</v>
      </c>
      <c r="F38" s="11" t="s">
        <v>118</v>
      </c>
      <c r="G38" s="11" t="s">
        <v>155</v>
      </c>
      <c r="H38" s="11" t="s">
        <v>65</v>
      </c>
      <c r="I38" s="90"/>
      <c r="J38" s="91">
        <v>1892</v>
      </c>
      <c r="K38" s="91">
        <v>14.43</v>
      </c>
      <c r="L38" s="94">
        <v>27297.38</v>
      </c>
    </row>
    <row r="39" spans="1:12" ht="24" customHeight="1">
      <c r="A39" t="str">
        <f t="shared" si="0"/>
        <v>EBAG.CMNT.0271</v>
      </c>
      <c r="B39" s="11" t="s">
        <v>76</v>
      </c>
      <c r="C39" s="11" t="s">
        <v>156</v>
      </c>
      <c r="D39" s="89" t="s">
        <v>97</v>
      </c>
      <c r="E39" s="11" t="s">
        <v>118</v>
      </c>
      <c r="F39" s="11" t="s">
        <v>118</v>
      </c>
      <c r="G39" s="11" t="s">
        <v>155</v>
      </c>
      <c r="H39" s="90"/>
      <c r="I39" s="90"/>
      <c r="J39" s="91">
        <v>0</v>
      </c>
      <c r="K39" s="91">
        <v>0</v>
      </c>
      <c r="L39" s="92">
        <v>0</v>
      </c>
    </row>
    <row r="40" spans="1:12" ht="24" customHeight="1">
      <c r="A40" t="str">
        <f t="shared" si="0"/>
        <v>EBAG.CMNT.0296CI - SFLR</v>
      </c>
      <c r="B40" s="11" t="s">
        <v>45</v>
      </c>
      <c r="C40" s="11" t="s">
        <v>157</v>
      </c>
      <c r="D40" s="89" t="s">
        <v>97</v>
      </c>
      <c r="E40" s="11" t="s">
        <v>118</v>
      </c>
      <c r="F40" s="11" t="s">
        <v>118</v>
      </c>
      <c r="G40" s="11" t="s">
        <v>155</v>
      </c>
      <c r="H40" s="11" t="s">
        <v>65</v>
      </c>
      <c r="I40" s="90"/>
      <c r="J40" s="91">
        <v>1738</v>
      </c>
      <c r="K40" s="91">
        <v>15.33</v>
      </c>
      <c r="L40" s="94">
        <v>26637.439999999999</v>
      </c>
    </row>
    <row r="41" spans="1:12">
      <c r="A41" t="str">
        <f t="shared" si="0"/>
        <v>EBAG.CMNT.0296CI - RM</v>
      </c>
      <c r="B41" s="11" t="s">
        <v>45</v>
      </c>
      <c r="C41" s="11" t="s">
        <v>157</v>
      </c>
      <c r="D41" s="89" t="s">
        <v>97</v>
      </c>
      <c r="E41" s="11" t="s">
        <v>118</v>
      </c>
      <c r="F41" s="11" t="s">
        <v>118</v>
      </c>
      <c r="G41" s="11" t="s">
        <v>155</v>
      </c>
      <c r="H41" s="11" t="s">
        <v>64</v>
      </c>
      <c r="I41" s="90"/>
      <c r="J41" s="91">
        <v>2681</v>
      </c>
      <c r="K41" s="91">
        <v>15.33</v>
      </c>
      <c r="L41" s="94">
        <v>41090.32</v>
      </c>
    </row>
    <row r="42" spans="1:12" ht="24" customHeight="1">
      <c r="A42" t="str">
        <f t="shared" si="0"/>
        <v>EBAG.CMNT.0340CI - RM</v>
      </c>
      <c r="B42" s="11" t="s">
        <v>46</v>
      </c>
      <c r="C42" s="11" t="s">
        <v>158</v>
      </c>
      <c r="D42" s="89" t="s">
        <v>97</v>
      </c>
      <c r="E42" s="11" t="s">
        <v>118</v>
      </c>
      <c r="F42" s="11" t="s">
        <v>118</v>
      </c>
      <c r="G42" s="11" t="s">
        <v>155</v>
      </c>
      <c r="H42" s="11" t="s">
        <v>64</v>
      </c>
      <c r="I42" s="90"/>
      <c r="J42" s="91">
        <v>51064</v>
      </c>
      <c r="K42" s="91">
        <v>21.53</v>
      </c>
      <c r="L42" s="94">
        <v>1099284.8600000001</v>
      </c>
    </row>
    <row r="43" spans="1:12">
      <c r="A43" t="str">
        <f t="shared" si="0"/>
        <v>EBAG.CMNT.0340CI - SFLR</v>
      </c>
      <c r="B43" s="11" t="s">
        <v>46</v>
      </c>
      <c r="C43" s="11" t="s">
        <v>158</v>
      </c>
      <c r="D43" s="89" t="s">
        <v>97</v>
      </c>
      <c r="E43" s="11" t="s">
        <v>118</v>
      </c>
      <c r="F43" s="11" t="s">
        <v>118</v>
      </c>
      <c r="G43" s="11" t="s">
        <v>155</v>
      </c>
      <c r="H43" s="11" t="s">
        <v>65</v>
      </c>
      <c r="I43" s="90"/>
      <c r="J43" s="91">
        <v>9377</v>
      </c>
      <c r="K43" s="91">
        <v>21.53</v>
      </c>
      <c r="L43" s="94">
        <v>201864.21</v>
      </c>
    </row>
    <row r="44" spans="1:12">
      <c r="A44" t="str">
        <f t="shared" si="0"/>
        <v>EBAG.CMNT.0340CI - VAT</v>
      </c>
      <c r="B44" s="11" t="s">
        <v>46</v>
      </c>
      <c r="C44" s="11" t="s">
        <v>158</v>
      </c>
      <c r="D44" s="89" t="s">
        <v>97</v>
      </c>
      <c r="E44" s="11" t="s">
        <v>118</v>
      </c>
      <c r="F44" s="11" t="s">
        <v>118</v>
      </c>
      <c r="G44" s="11" t="s">
        <v>155</v>
      </c>
      <c r="H44" s="11" t="s">
        <v>120</v>
      </c>
      <c r="I44" s="90"/>
      <c r="J44" s="91">
        <v>20</v>
      </c>
      <c r="K44" s="91">
        <v>21.53</v>
      </c>
      <c r="L44" s="92">
        <v>430.55</v>
      </c>
    </row>
    <row r="45" spans="1:12">
      <c r="A45" t="str">
        <f t="shared" si="0"/>
        <v/>
      </c>
    </row>
    <row r="46" spans="1:12">
      <c r="A46" t="str">
        <f t="shared" si="0"/>
        <v/>
      </c>
    </row>
    <row r="47" spans="1:12">
      <c r="A47" t="str">
        <f t="shared" si="0"/>
        <v/>
      </c>
    </row>
    <row r="48" spans="1:12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s="11" t="str">
        <f t="shared" ref="A52:A72" si="1">B52&amp;H52</f>
        <v/>
      </c>
    </row>
    <row r="53" spans="1:1">
      <c r="A53" s="11" t="str">
        <f t="shared" si="1"/>
        <v/>
      </c>
    </row>
    <row r="54" spans="1:1">
      <c r="A54" s="11" t="str">
        <f t="shared" si="1"/>
        <v/>
      </c>
    </row>
    <row r="55" spans="1:1">
      <c r="A55" s="11" t="str">
        <f t="shared" si="1"/>
        <v/>
      </c>
    </row>
    <row r="56" spans="1:1">
      <c r="A56" s="11" t="str">
        <f t="shared" si="1"/>
        <v/>
      </c>
    </row>
    <row r="57" spans="1:1">
      <c r="A57" s="11" t="str">
        <f t="shared" si="1"/>
        <v/>
      </c>
    </row>
    <row r="58" spans="1:1">
      <c r="A58" s="11" t="str">
        <f t="shared" si="1"/>
        <v/>
      </c>
    </row>
    <row r="59" spans="1:1">
      <c r="A59" s="11" t="str">
        <f t="shared" si="1"/>
        <v/>
      </c>
    </row>
    <row r="60" spans="1:1">
      <c r="A60" s="11" t="str">
        <f t="shared" si="1"/>
        <v/>
      </c>
    </row>
    <row r="61" spans="1:1">
      <c r="A61" s="11" t="str">
        <f t="shared" si="1"/>
        <v/>
      </c>
    </row>
    <row r="62" spans="1:1">
      <c r="A62" s="11" t="str">
        <f t="shared" si="1"/>
        <v/>
      </c>
    </row>
    <row r="63" spans="1:1">
      <c r="A63" s="11" t="str">
        <f t="shared" si="1"/>
        <v/>
      </c>
    </row>
    <row r="64" spans="1:1">
      <c r="A64" s="11" t="str">
        <f t="shared" si="1"/>
        <v/>
      </c>
    </row>
    <row r="65" spans="1:1">
      <c r="A65" s="11" t="str">
        <f t="shared" si="1"/>
        <v/>
      </c>
    </row>
    <row r="66" spans="1:1">
      <c r="A66" s="11" t="str">
        <f t="shared" si="1"/>
        <v/>
      </c>
    </row>
    <row r="67" spans="1:1">
      <c r="A67" s="11" t="str">
        <f t="shared" si="1"/>
        <v/>
      </c>
    </row>
    <row r="68" spans="1:1">
      <c r="A68" s="11" t="str">
        <f t="shared" si="1"/>
        <v/>
      </c>
    </row>
    <row r="69" spans="1:1">
      <c r="A69" s="11" t="str">
        <f t="shared" si="1"/>
        <v/>
      </c>
    </row>
    <row r="70" spans="1:1">
      <c r="A70" s="11" t="str">
        <f t="shared" si="1"/>
        <v/>
      </c>
    </row>
    <row r="71" spans="1:1">
      <c r="A71" s="11" t="str">
        <f t="shared" si="1"/>
        <v/>
      </c>
    </row>
    <row r="72" spans="1:1">
      <c r="A72" s="11" t="str">
        <f t="shared" si="1"/>
        <v/>
      </c>
    </row>
    <row r="73" spans="1:1">
      <c r="A73" s="11" t="str">
        <f t="shared" ref="A73:A136" si="2">B73&amp;H73</f>
        <v/>
      </c>
    </row>
    <row r="74" spans="1:1">
      <c r="A74" s="11" t="str">
        <f t="shared" si="2"/>
        <v/>
      </c>
    </row>
    <row r="75" spans="1:1">
      <c r="A75" s="11" t="str">
        <f t="shared" si="2"/>
        <v/>
      </c>
    </row>
    <row r="76" spans="1:1">
      <c r="A76" s="11" t="str">
        <f t="shared" si="2"/>
        <v/>
      </c>
    </row>
    <row r="77" spans="1:1">
      <c r="A77" s="11" t="str">
        <f t="shared" si="2"/>
        <v/>
      </c>
    </row>
    <row r="78" spans="1:1">
      <c r="A78" s="11" t="str">
        <f t="shared" si="2"/>
        <v/>
      </c>
    </row>
    <row r="79" spans="1:1">
      <c r="A79" s="11" t="str">
        <f t="shared" si="2"/>
        <v/>
      </c>
    </row>
    <row r="80" spans="1:1">
      <c r="A80" s="11" t="str">
        <f t="shared" si="2"/>
        <v/>
      </c>
    </row>
    <row r="81" spans="1:1">
      <c r="A81" s="11" t="str">
        <f t="shared" si="2"/>
        <v/>
      </c>
    </row>
    <row r="82" spans="1:1">
      <c r="A82" s="11" t="str">
        <f t="shared" si="2"/>
        <v/>
      </c>
    </row>
    <row r="83" spans="1:1">
      <c r="A83" s="11" t="str">
        <f t="shared" si="2"/>
        <v/>
      </c>
    </row>
    <row r="84" spans="1:1">
      <c r="A84" s="11" t="str">
        <f t="shared" si="2"/>
        <v/>
      </c>
    </row>
    <row r="85" spans="1:1">
      <c r="A85" s="11" t="str">
        <f t="shared" si="2"/>
        <v/>
      </c>
    </row>
    <row r="86" spans="1:1">
      <c r="A86" s="11" t="str">
        <f t="shared" si="2"/>
        <v/>
      </c>
    </row>
    <row r="87" spans="1:1">
      <c r="A87" s="11" t="str">
        <f t="shared" si="2"/>
        <v/>
      </c>
    </row>
    <row r="88" spans="1:1">
      <c r="A88" s="11" t="str">
        <f t="shared" si="2"/>
        <v/>
      </c>
    </row>
    <row r="89" spans="1:1">
      <c r="A89" s="11" t="str">
        <f t="shared" si="2"/>
        <v/>
      </c>
    </row>
    <row r="90" spans="1:1">
      <c r="A90" s="11" t="str">
        <f t="shared" si="2"/>
        <v/>
      </c>
    </row>
    <row r="91" spans="1:1">
      <c r="A91" s="11" t="str">
        <f t="shared" si="2"/>
        <v/>
      </c>
    </row>
    <row r="92" spans="1:1">
      <c r="A92" s="11" t="str">
        <f t="shared" si="2"/>
        <v/>
      </c>
    </row>
    <row r="93" spans="1:1">
      <c r="A93" s="11" t="str">
        <f t="shared" si="2"/>
        <v/>
      </c>
    </row>
    <row r="94" spans="1:1">
      <c r="A94" s="11" t="str">
        <f t="shared" si="2"/>
        <v/>
      </c>
    </row>
    <row r="95" spans="1:1">
      <c r="A95" s="11" t="str">
        <f t="shared" si="2"/>
        <v/>
      </c>
    </row>
    <row r="96" spans="1:1">
      <c r="A96" s="11" t="str">
        <f t="shared" si="2"/>
        <v/>
      </c>
    </row>
    <row r="97" spans="1:1">
      <c r="A97" s="11" t="str">
        <f t="shared" si="2"/>
        <v/>
      </c>
    </row>
    <row r="98" spans="1:1">
      <c r="A98" s="11" t="str">
        <f t="shared" si="2"/>
        <v/>
      </c>
    </row>
    <row r="99" spans="1:1">
      <c r="A99" s="11" t="str">
        <f t="shared" si="2"/>
        <v/>
      </c>
    </row>
    <row r="100" spans="1:1">
      <c r="A100" s="11" t="str">
        <f t="shared" si="2"/>
        <v/>
      </c>
    </row>
    <row r="101" spans="1:1">
      <c r="A101" s="11" t="str">
        <f t="shared" si="2"/>
        <v/>
      </c>
    </row>
    <row r="102" spans="1:1">
      <c r="A102" s="11" t="str">
        <f t="shared" si="2"/>
        <v/>
      </c>
    </row>
    <row r="103" spans="1:1">
      <c r="A103" s="11" t="str">
        <f t="shared" si="2"/>
        <v/>
      </c>
    </row>
    <row r="104" spans="1:1">
      <c r="A104" s="11" t="str">
        <f t="shared" si="2"/>
        <v/>
      </c>
    </row>
    <row r="105" spans="1:1">
      <c r="A105" s="11" t="str">
        <f t="shared" si="2"/>
        <v/>
      </c>
    </row>
    <row r="106" spans="1:1">
      <c r="A106" s="11" t="str">
        <f t="shared" si="2"/>
        <v/>
      </c>
    </row>
    <row r="107" spans="1:1">
      <c r="A107" s="11" t="str">
        <f t="shared" si="2"/>
        <v/>
      </c>
    </row>
    <row r="108" spans="1:1">
      <c r="A108" s="11" t="str">
        <f t="shared" si="2"/>
        <v/>
      </c>
    </row>
    <row r="109" spans="1:1">
      <c r="A109" s="11" t="str">
        <f t="shared" si="2"/>
        <v/>
      </c>
    </row>
    <row r="110" spans="1:1">
      <c r="A110" s="11" t="str">
        <f t="shared" si="2"/>
        <v/>
      </c>
    </row>
    <row r="111" spans="1:1">
      <c r="A111" s="11" t="str">
        <f t="shared" si="2"/>
        <v/>
      </c>
    </row>
    <row r="112" spans="1:1">
      <c r="A112" s="11" t="str">
        <f t="shared" si="2"/>
        <v/>
      </c>
    </row>
    <row r="113" spans="1:1">
      <c r="A113" s="11" t="str">
        <f t="shared" si="2"/>
        <v/>
      </c>
    </row>
    <row r="114" spans="1:1">
      <c r="A114" s="11" t="str">
        <f t="shared" si="2"/>
        <v/>
      </c>
    </row>
    <row r="115" spans="1:1">
      <c r="A115" s="11" t="str">
        <f t="shared" si="2"/>
        <v/>
      </c>
    </row>
    <row r="116" spans="1:1">
      <c r="A116" s="11" t="str">
        <f t="shared" si="2"/>
        <v/>
      </c>
    </row>
    <row r="117" spans="1:1">
      <c r="A117" s="11" t="str">
        <f t="shared" si="2"/>
        <v/>
      </c>
    </row>
    <row r="118" spans="1:1">
      <c r="A118" s="11" t="str">
        <f t="shared" si="2"/>
        <v/>
      </c>
    </row>
    <row r="119" spans="1:1">
      <c r="A119" t="str">
        <f t="shared" si="2"/>
        <v/>
      </c>
    </row>
    <row r="120" spans="1:1">
      <c r="A120" t="str">
        <f t="shared" si="2"/>
        <v/>
      </c>
    </row>
    <row r="121" spans="1:1">
      <c r="A121" t="str">
        <f t="shared" si="2"/>
        <v/>
      </c>
    </row>
    <row r="122" spans="1:1">
      <c r="A122" t="str">
        <f t="shared" si="2"/>
        <v/>
      </c>
    </row>
    <row r="123" spans="1:1">
      <c r="A123" t="str">
        <f t="shared" si="2"/>
        <v/>
      </c>
    </row>
    <row r="124" spans="1:1">
      <c r="A124" t="str">
        <f t="shared" si="2"/>
        <v/>
      </c>
    </row>
    <row r="125" spans="1:1">
      <c r="A125" t="str">
        <f t="shared" si="2"/>
        <v/>
      </c>
    </row>
    <row r="126" spans="1:1">
      <c r="A126" t="str">
        <f t="shared" si="2"/>
        <v/>
      </c>
    </row>
    <row r="127" spans="1:1">
      <c r="A127" t="str">
        <f t="shared" si="2"/>
        <v/>
      </c>
    </row>
    <row r="128" spans="1: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si="2"/>
        <v/>
      </c>
    </row>
    <row r="137" spans="1:1">
      <c r="A137" t="str">
        <f t="shared" ref="A137:A200" si="3">B137&amp;H137</f>
        <v/>
      </c>
    </row>
    <row r="138" spans="1:1">
      <c r="A138" t="str">
        <f t="shared" si="3"/>
        <v/>
      </c>
    </row>
    <row r="139" spans="1:1">
      <c r="A139" t="str">
        <f t="shared" si="3"/>
        <v/>
      </c>
    </row>
    <row r="140" spans="1:1">
      <c r="A140" t="str">
        <f t="shared" si="3"/>
        <v/>
      </c>
    </row>
    <row r="141" spans="1:1">
      <c r="A141" t="str">
        <f t="shared" si="3"/>
        <v/>
      </c>
    </row>
    <row r="142" spans="1:1">
      <c r="A142" t="str">
        <f t="shared" si="3"/>
        <v/>
      </c>
    </row>
    <row r="143" spans="1:1">
      <c r="A143" t="str">
        <f t="shared" si="3"/>
        <v/>
      </c>
    </row>
    <row r="144" spans="1:1">
      <c r="A144" t="str">
        <f t="shared" si="3"/>
        <v/>
      </c>
    </row>
    <row r="145" spans="1:1">
      <c r="A145" t="str">
        <f t="shared" si="3"/>
        <v/>
      </c>
    </row>
    <row r="146" spans="1:1">
      <c r="A146" t="str">
        <f t="shared" si="3"/>
        <v/>
      </c>
    </row>
    <row r="147" spans="1:1">
      <c r="A147" t="str">
        <f t="shared" si="3"/>
        <v/>
      </c>
    </row>
    <row r="148" spans="1:1">
      <c r="A148" t="str">
        <f t="shared" si="3"/>
        <v/>
      </c>
    </row>
    <row r="149" spans="1:1">
      <c r="A149" t="str">
        <f t="shared" si="3"/>
        <v/>
      </c>
    </row>
    <row r="150" spans="1:1">
      <c r="A150" t="str">
        <f t="shared" si="3"/>
        <v/>
      </c>
    </row>
    <row r="151" spans="1:1">
      <c r="A151" t="str">
        <f t="shared" si="3"/>
        <v/>
      </c>
    </row>
    <row r="152" spans="1:1">
      <c r="A152" t="str">
        <f t="shared" si="3"/>
        <v/>
      </c>
    </row>
    <row r="153" spans="1:1">
      <c r="A153" t="str">
        <f t="shared" si="3"/>
        <v/>
      </c>
    </row>
    <row r="154" spans="1:1">
      <c r="A154" t="str">
        <f t="shared" si="3"/>
        <v/>
      </c>
    </row>
    <row r="155" spans="1:1">
      <c r="A155" t="str">
        <f t="shared" si="3"/>
        <v/>
      </c>
    </row>
    <row r="156" spans="1:1">
      <c r="A156" t="str">
        <f t="shared" si="3"/>
        <v/>
      </c>
    </row>
    <row r="157" spans="1:1">
      <c r="A157" t="str">
        <f t="shared" si="3"/>
        <v/>
      </c>
    </row>
    <row r="158" spans="1:1">
      <c r="A158" t="str">
        <f t="shared" si="3"/>
        <v/>
      </c>
    </row>
    <row r="159" spans="1:1">
      <c r="A159" t="str">
        <f t="shared" si="3"/>
        <v/>
      </c>
    </row>
    <row r="160" spans="1:1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ref="A201:A219" si="4">B201&amp;H201</f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</sheetData>
  <mergeCells count="5">
    <mergeCell ref="B1:L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-0.249977111117893"/>
  </sheetPr>
  <dimension ref="A1:BK102"/>
  <sheetViews>
    <sheetView tabSelected="1" workbookViewId="0">
      <selection activeCell="M14" sqref="M14"/>
    </sheetView>
  </sheetViews>
  <sheetFormatPr defaultColWidth="9" defaultRowHeight="15"/>
  <cols>
    <col min="1" max="1" width="14.140625" customWidth="1"/>
    <col min="2" max="2" width="39.85546875" customWidth="1"/>
    <col min="3" max="3" width="4.140625" customWidth="1"/>
    <col min="4" max="4" width="17.85546875" customWidth="1"/>
    <col min="5" max="5" width="18.85546875" customWidth="1"/>
    <col min="6" max="6" width="15.140625" customWidth="1"/>
    <col min="7" max="7" width="10.7109375" customWidth="1"/>
    <col min="8" max="8" width="6.140625" customWidth="1"/>
    <col min="9" max="10" width="7.85546875" customWidth="1"/>
    <col min="11" max="12" width="10.85546875" customWidth="1"/>
    <col min="13" max="13" width="10.140625" customWidth="1"/>
  </cols>
  <sheetData>
    <row r="1" spans="1:63" ht="15.75">
      <c r="A1" s="150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BK1">
        <f>COLUMN()</f>
        <v>63</v>
      </c>
    </row>
    <row r="2" spans="1:63">
      <c r="A2" s="151" t="s">
        <v>1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t="str">
        <f>$A15&amp;$L15</f>
        <v>EBAG.CMNT.0340CI - SFLR</v>
      </c>
    </row>
    <row r="3" spans="1:63">
      <c r="A3" s="152" t="s">
        <v>53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</row>
    <row r="4" spans="1:63">
      <c r="A4" s="153" t="s">
        <v>77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</row>
    <row r="5" spans="1:63">
      <c r="A5" s="72" t="s">
        <v>54</v>
      </c>
      <c r="B5" t="s">
        <v>55</v>
      </c>
      <c r="D5" s="1">
        <f>(RIGHT('On Hand Details'!B4,9)+0)</f>
        <v>45399</v>
      </c>
      <c r="H5" t="b">
        <f>IF(A15='On Hand Details'!B42,TRUE,FALSE)</f>
        <v>1</v>
      </c>
    </row>
    <row r="6" spans="1:63">
      <c r="A6" s="72" t="s">
        <v>56</v>
      </c>
      <c r="B6" t="s">
        <v>57</v>
      </c>
    </row>
    <row r="7" spans="1:63">
      <c r="A7" s="154" t="s">
        <v>78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63">
      <c r="A8" s="2" t="s">
        <v>34</v>
      </c>
      <c r="B8" s="2" t="s">
        <v>35</v>
      </c>
      <c r="C8" s="2" t="s">
        <v>36</v>
      </c>
      <c r="D8" s="2" t="s">
        <v>54</v>
      </c>
      <c r="E8" s="2" t="s">
        <v>58</v>
      </c>
      <c r="F8" s="2" t="s">
        <v>59</v>
      </c>
      <c r="G8" s="2" t="s">
        <v>56</v>
      </c>
      <c r="H8" s="2" t="s">
        <v>60</v>
      </c>
      <c r="I8" s="2" t="s">
        <v>61</v>
      </c>
      <c r="J8" s="2" t="s">
        <v>62</v>
      </c>
      <c r="K8" s="8" t="s">
        <v>63</v>
      </c>
      <c r="L8" s="9" t="s">
        <v>79</v>
      </c>
      <c r="N8" t="str">
        <f>'Check ILS'!I16</f>
        <v>Adjustment</v>
      </c>
    </row>
    <row r="9" spans="1:63">
      <c r="A9" s="3" t="s">
        <v>70</v>
      </c>
      <c r="B9" s="3" t="str">
        <f>IF(A9="","",IFERROR(VLOOKUP($A9&amp;$L9,'On Hand Details'!$A$8:$L$219,COLUMN()+1,0),"Not Found"))</f>
        <v>BAG CEMENT B-M (PCC)</v>
      </c>
      <c r="C9" s="3" t="str">
        <f>IF(B9="","",IFERROR(VLOOKUP($A9&amp;$L9,'On Hand Details'!$A$8:$L$219,COLUMN()+1,0),"Not Found"))</f>
        <v>BAG</v>
      </c>
      <c r="D9" s="3" t="str">
        <f>IF(C9="","",IFERROR(VLOOKUP($A9&amp;$L9,'On Hand Details'!$A$8:$L$219,COLUMN()+1,0),"Not Found"))</f>
        <v>FINISH GOODS</v>
      </c>
      <c r="E9" s="3" t="str">
        <f>IF(D9="","",IFERROR(VLOOKUP($A9&amp;$L9,'On Hand Details'!$A$8:$L$219,COLUMN()+1,0),"Not Found"))</f>
        <v>FINISHED GOODS-DUAL</v>
      </c>
      <c r="F9" s="3" t="str">
        <f>IF(E9="","",IFERROR(VLOOKUP($A9&amp;$L9,'On Hand Details'!$A$8:$L$219,COLUMN()+1,0),"Not Found"))</f>
        <v>BAG CEMENT</v>
      </c>
      <c r="G9" s="3" t="str">
        <f>IF(F9="","",IFERROR(VLOOKUP($A9&amp;$L9,'On Hand Details'!$A$8:$L$219,COLUMN()+1,0),"Not Found"))</f>
        <v>CI - FG</v>
      </c>
      <c r="H9" s="3">
        <f>IF(G9="","",IFERROR(VLOOKUP($A9&amp;$L9,'On Hand Details'!$A$8:$L$219,COLUMN()+1,0),"Not Found"))</f>
        <v>0</v>
      </c>
      <c r="I9" s="3">
        <f>IF(H9="","",IFERROR(VLOOKUP($A9&amp;$L9,'On Hand Details'!$A$8:$L$219,COLUMN()+1,0),"Not Found"))</f>
        <v>31149</v>
      </c>
      <c r="J9" s="3">
        <f>IF(I9="","",IFERROR(VLOOKUP($A9&amp;$L9,'On Hand Details'!$A$8:$L$219,COLUMN()+1,0),"Not Found"))</f>
        <v>292.33</v>
      </c>
      <c r="K9" s="3">
        <f>IF(J9="","",IFERROR(VLOOKUP($A9&amp;$L9,'On Hand Details'!$A$8:$L$219,COLUMN()+1,0),"Not Found"))</f>
        <v>9105704.6300000008</v>
      </c>
      <c r="L9" s="3" t="s">
        <v>67</v>
      </c>
      <c r="M9">
        <v>32199</v>
      </c>
      <c r="N9">
        <f>M9-I9</f>
        <v>1050</v>
      </c>
    </row>
    <row r="10" spans="1:63">
      <c r="A10" s="3" t="s">
        <v>71</v>
      </c>
      <c r="B10" s="3" t="str">
        <f>IF(A10="","",IFERROR(VLOOKUP($A10&amp;$L10,'On Hand Details'!$A$8:$L$219,COLUMN()+1,0),"Not Found"))</f>
        <v>BAG CEMENT A-M SPECIAL (PCC)</v>
      </c>
      <c r="C10" s="3" t="str">
        <f>IF(B10="","",IFERROR(VLOOKUP($A10&amp;$L10,'On Hand Details'!$A$8:$L$219,COLUMN()+1,0),"Not Found"))</f>
        <v>BAG</v>
      </c>
      <c r="D10" s="3" t="str">
        <f>IF(C10="","",IFERROR(VLOOKUP($A10&amp;$L10,'On Hand Details'!$A$8:$L$219,COLUMN()+1,0),"Not Found"))</f>
        <v>FINISH GOODS</v>
      </c>
      <c r="E10" s="3" t="str">
        <f>IF(D10="","",IFERROR(VLOOKUP($A10&amp;$L10,'On Hand Details'!$A$8:$L$219,COLUMN()+1,0),"Not Found"))</f>
        <v>FINISHED GOODS-DUAL</v>
      </c>
      <c r="F10" s="3" t="str">
        <f>IF(E10="","",IFERROR(VLOOKUP($A10&amp;$L10,'On Hand Details'!$A$8:$L$219,COLUMN()+1,0),"Not Found"))</f>
        <v>BAG CEMENT</v>
      </c>
      <c r="G10" s="3" t="str">
        <f>IF(F10="","",IFERROR(VLOOKUP($A10&amp;$L10,'On Hand Details'!$A$8:$L$219,COLUMN()+1,0),"Not Found"))</f>
        <v>CI - FG</v>
      </c>
      <c r="H10" s="3">
        <f>IF(G10="","",IFERROR(VLOOKUP($A10&amp;$L10,'On Hand Details'!$A$8:$L$219,COLUMN()+1,0),"Not Found"))</f>
        <v>0</v>
      </c>
      <c r="I10" s="3">
        <f>IF(H10="","",IFERROR(VLOOKUP($A10&amp;$L10,'On Hand Details'!$A$8:$L$219,COLUMN()+1,0),"Not Found"))</f>
        <v>7801</v>
      </c>
      <c r="J10" s="3">
        <f>IF(I10="","",IFERROR(VLOOKUP($A10&amp;$L10,'On Hand Details'!$A$8:$L$219,COLUMN()+1,0),"Not Found"))</f>
        <v>293.44</v>
      </c>
      <c r="K10" s="3">
        <f>IF(J10="","",IFERROR(VLOOKUP($A10&amp;$L10,'On Hand Details'!$A$8:$L$219,COLUMN()+1,0),"Not Found"))</f>
        <v>2289160.39</v>
      </c>
      <c r="L10" s="3" t="s">
        <v>67</v>
      </c>
      <c r="M10">
        <v>8000</v>
      </c>
      <c r="N10">
        <f>M10-I10</f>
        <v>199</v>
      </c>
    </row>
    <row r="11" spans="1:63">
      <c r="A11" s="3" t="s">
        <v>72</v>
      </c>
      <c r="B11" s="3" t="str">
        <f>IF(A11="","",IFERROR(VLOOKUP($A11&amp;$L11,'On Hand Details'!$A$8:$L$219,COLUMN()+1,0),"Not Found"))</f>
        <v>BAG CEMENT GOLD (OPC)</v>
      </c>
      <c r="C11" s="3" t="str">
        <f>IF(B11="","",IFERROR(VLOOKUP($A11&amp;$L11,'On Hand Details'!$A$8:$L$219,COLUMN()+1,0),"Not Found"))</f>
        <v>BAG</v>
      </c>
      <c r="D11" s="3" t="str">
        <f>IF(C11="","",IFERROR(VLOOKUP($A11&amp;$L11,'On Hand Details'!$A$8:$L$219,COLUMN()+1,0),"Not Found"))</f>
        <v>FINISH GOODS</v>
      </c>
      <c r="E11" s="3" t="str">
        <f>IF(D11="","",IFERROR(VLOOKUP($A11&amp;$L11,'On Hand Details'!$A$8:$L$219,COLUMN()+1,0),"Not Found"))</f>
        <v>FINISHED GOODS-DUAL</v>
      </c>
      <c r="F11" s="3" t="str">
        <f>IF(E11="","",IFERROR(VLOOKUP($A11&amp;$L11,'On Hand Details'!$A$8:$L$219,COLUMN()+1,0),"Not Found"))</f>
        <v>BAG CEMENT</v>
      </c>
      <c r="G11" s="3" t="str">
        <f>IF(F11="","",IFERROR(VLOOKUP($A11&amp;$L11,'On Hand Details'!$A$8:$L$219,COLUMN()+1,0),"Not Found"))</f>
        <v>CI - FG</v>
      </c>
      <c r="H11" s="3">
        <f>IF(G11="","",IFERROR(VLOOKUP($A11&amp;$L11,'On Hand Details'!$A$8:$L$219,COLUMN()+1,0),"Not Found"))</f>
        <v>0</v>
      </c>
      <c r="I11" s="3">
        <f>IF(H11="","",IFERROR(VLOOKUP($A11&amp;$L11,'On Hand Details'!$A$8:$L$219,COLUMN()+1,0),"Not Found"))</f>
        <v>8000</v>
      </c>
      <c r="J11" s="3">
        <f>IF(I11="","",IFERROR(VLOOKUP($A11&amp;$L11,'On Hand Details'!$A$8:$L$219,COLUMN()+1,0),"Not Found"))</f>
        <v>335.54</v>
      </c>
      <c r="K11" s="3">
        <f>IF(J11="","",IFERROR(VLOOKUP($A11&amp;$L11,'On Hand Details'!$A$8:$L$219,COLUMN()+1,0),"Not Found"))</f>
        <v>2684352.7200000002</v>
      </c>
      <c r="L11" s="3" t="s">
        <v>67</v>
      </c>
      <c r="M11">
        <v>8000</v>
      </c>
      <c r="N11">
        <f t="shared" ref="N11:N19" si="0">M11-I11</f>
        <v>0</v>
      </c>
    </row>
    <row r="12" spans="1:63">
      <c r="A12" s="3" t="s">
        <v>73</v>
      </c>
      <c r="B12" s="3" t="str">
        <f>IF(A12="","",IFERROR(VLOOKUP($A12&amp;$L12,'On Hand Details'!$A$8:$L$219,COLUMN()+1,0),"Not Found"))</f>
        <v>BAG CEMENT GOLD (OPC) 1 PLY</v>
      </c>
      <c r="C12" s="3" t="str">
        <f>IF(B12="","",IFERROR(VLOOKUP($A12&amp;$L12,'On Hand Details'!$A$8:$L$219,COLUMN()+1,0),"Not Found"))</f>
        <v>BAG</v>
      </c>
      <c r="D12" s="3" t="str">
        <f>IF(C12="","",IFERROR(VLOOKUP($A12&amp;$L12,'On Hand Details'!$A$8:$L$219,COLUMN()+1,0),"Not Found"))</f>
        <v>FINISH GOODS</v>
      </c>
      <c r="E12" s="3" t="str">
        <f>IF(D12="","",IFERROR(VLOOKUP($A12&amp;$L12,'On Hand Details'!$A$8:$L$219,COLUMN()+1,0),"Not Found"))</f>
        <v>FINISHED GOODS-DUAL</v>
      </c>
      <c r="F12" s="3" t="str">
        <f>IF(E12="","",IFERROR(VLOOKUP($A12&amp;$L12,'On Hand Details'!$A$8:$L$219,COLUMN()+1,0),"Not Found"))</f>
        <v>BAG CEMENT</v>
      </c>
      <c r="G12" s="3" t="str">
        <f>IF(F12="","",IFERROR(VLOOKUP($A12&amp;$L12,'On Hand Details'!$A$8:$L$219,COLUMN()+1,0),"Not Found"))</f>
        <v>CI - FG</v>
      </c>
      <c r="H12" s="3">
        <f>IF(G12="","",IFERROR(VLOOKUP($A12&amp;$L12,'On Hand Details'!$A$8:$L$219,COLUMN()+1,0),"Not Found"))</f>
        <v>0</v>
      </c>
      <c r="I12" s="3">
        <f>IF(H12="","",IFERROR(VLOOKUP($A12&amp;$L12,'On Hand Details'!$A$8:$L$219,COLUMN()+1,0),"Not Found"))</f>
        <v>5000</v>
      </c>
      <c r="J12" s="3">
        <f>IF(I12="","",IFERROR(VLOOKUP($A12&amp;$L12,'On Hand Details'!$A$8:$L$219,COLUMN()+1,0),"Not Found"))</f>
        <v>332.15</v>
      </c>
      <c r="K12" s="3">
        <f>IF(J12="","",IFERROR(VLOOKUP($A12&amp;$L12,'On Hand Details'!$A$8:$L$219,COLUMN()+1,0),"Not Found"))</f>
        <v>1660758.55</v>
      </c>
      <c r="L12" s="3" t="s">
        <v>67</v>
      </c>
      <c r="M12">
        <v>5000</v>
      </c>
      <c r="N12">
        <f t="shared" si="0"/>
        <v>0</v>
      </c>
    </row>
    <row r="13" spans="1:63">
      <c r="A13" s="3" t="s">
        <v>74</v>
      </c>
      <c r="B13" s="3" t="str">
        <f>IF(A13="","",IFERROR(VLOOKUP($A13&amp;$L13,'On Hand Details'!$A$8:$L$219,COLUMN()+1,0),"Not Found"))</f>
        <v>BAG CEMENT A-M (SPECIAL) PCC 1 PLY</v>
      </c>
      <c r="C13" s="3" t="str">
        <f>IF(B13="","",IFERROR(VLOOKUP($A13&amp;$L13,'On Hand Details'!$A$8:$L$219,COLUMN()+1,0),"Not Found"))</f>
        <v>BAG</v>
      </c>
      <c r="D13" s="3" t="str">
        <f>IF(C13="","",IFERROR(VLOOKUP($A13&amp;$L13,'On Hand Details'!$A$8:$L$219,COLUMN()+1,0),"Not Found"))</f>
        <v>FINISH GOODS</v>
      </c>
      <c r="E13" s="3" t="str">
        <f>IF(D13="","",IFERROR(VLOOKUP($A13&amp;$L13,'On Hand Details'!$A$8:$L$219,COLUMN()+1,0),"Not Found"))</f>
        <v>FINISHED GOODS-DUAL</v>
      </c>
      <c r="F13" s="3" t="str">
        <f>IF(E13="","",IFERROR(VLOOKUP($A13&amp;$L13,'On Hand Details'!$A$8:$L$219,COLUMN()+1,0),"Not Found"))</f>
        <v>BAG CEMENT</v>
      </c>
      <c r="G13" s="3" t="str">
        <f>IF(F13="","",IFERROR(VLOOKUP($A13&amp;$L13,'On Hand Details'!$A$8:$L$219,COLUMN()+1,0),"Not Found"))</f>
        <v>CI - FG</v>
      </c>
      <c r="H13" s="3">
        <f>IF(G13="","",IFERROR(VLOOKUP($A13&amp;$L13,'On Hand Details'!$A$8:$L$219,COLUMN()+1,0),"Not Found"))</f>
        <v>0</v>
      </c>
      <c r="I13" s="3">
        <f>IF(H13="","",IFERROR(VLOOKUP($A13&amp;$L13,'On Hand Details'!$A$8:$L$219,COLUMN()+1,0),"Not Found"))</f>
        <v>5000</v>
      </c>
      <c r="J13" s="3">
        <f>IF(I13="","",IFERROR(VLOOKUP($A13&amp;$L13,'On Hand Details'!$A$8:$L$219,COLUMN()+1,0),"Not Found"))</f>
        <v>305.89999999999998</v>
      </c>
      <c r="K13" s="3">
        <f>IF(J13="","",IFERROR(VLOOKUP($A13&amp;$L13,'On Hand Details'!$A$8:$L$219,COLUMN()+1,0),"Not Found"))</f>
        <v>1529508.2</v>
      </c>
      <c r="L13" s="3" t="s">
        <v>67</v>
      </c>
      <c r="M13">
        <v>5000</v>
      </c>
      <c r="N13">
        <f t="shared" si="0"/>
        <v>0</v>
      </c>
    </row>
    <row r="14" spans="1:63">
      <c r="A14" s="4" t="s">
        <v>42</v>
      </c>
      <c r="B14" s="4" t="str">
        <f>IF(A14="","",IFERROR(VLOOKUP($A14&amp;$L14,'On Hand Details'!$A$8:$L$219,COLUMN()+1,0),"Not Found"))</f>
        <v>WPP BAG SEVEN RINGS BM (PCC) SSCIL</v>
      </c>
      <c r="C14" s="4" t="str">
        <f>IF(B14="","",IFERROR(VLOOKUP($A14&amp;$L14,'On Hand Details'!$A$8:$L$219,COLUMN()+1,0),"Not Found"))</f>
        <v>PCS</v>
      </c>
      <c r="D14" s="4" t="str">
        <f>IF(C14="","",IFERROR(VLOOKUP($A14&amp;$L14,'On Hand Details'!$A$8:$L$219,COLUMN()+1,0),"Not Found"))</f>
        <v>PACKING MATERIALS</v>
      </c>
      <c r="E14" s="4" t="str">
        <f>IF(D14="","",IFERROR(VLOOKUP($A14&amp;$L14,'On Hand Details'!$A$8:$L$219,COLUMN()+1,0),"Not Found"))</f>
        <v>PACKING MATERIALS</v>
      </c>
      <c r="F14" s="4" t="str">
        <f>IF(E14="","",IFERROR(VLOOKUP($A14&amp;$L14,'On Hand Details'!$A$8:$L$219,COLUMN()+1,0),"Not Found"))</f>
        <v>SR BRAND</v>
      </c>
      <c r="G14" s="4" t="str">
        <f>IF(F14="","",IFERROR(VLOOKUP($A14&amp;$L14,'On Hand Details'!$A$8:$L$219,COLUMN()+1,0),"Not Found"))</f>
        <v>CI - SFLR</v>
      </c>
      <c r="H14" s="4">
        <f>IF(G14="","",IFERROR(VLOOKUP($A14&amp;$L14,'On Hand Details'!$A$8:$L$219,COLUMN()+1,0),"Not Found"))</f>
        <v>0</v>
      </c>
      <c r="I14" s="4">
        <f>IF(H14="","",IFERROR(VLOOKUP($A14&amp;$L14,'On Hand Details'!$A$8:$L$219,COLUMN()+1,0),"Not Found"))</f>
        <v>37598</v>
      </c>
      <c r="J14" s="4">
        <f>IF(I14="","",IFERROR(VLOOKUP($A14&amp;$L14,'On Hand Details'!$A$8:$L$219,COLUMN()+1,0),"Not Found"))</f>
        <v>21.78</v>
      </c>
      <c r="K14" s="4">
        <f>IF(J14="","",IFERROR(VLOOKUP($A14&amp;$L14,'On Hand Details'!$A$8:$L$219,COLUMN()+1,0),"Not Found"))</f>
        <v>818990.47</v>
      </c>
      <c r="L14" s="4" t="s">
        <v>65</v>
      </c>
      <c r="M14">
        <f>VLOOKUP($D$5,'[1]Monthly Summery'!$A$6:$BX$37,62,0)</f>
        <v>37640</v>
      </c>
      <c r="N14">
        <f t="shared" si="0"/>
        <v>42</v>
      </c>
    </row>
    <row r="15" spans="1:63">
      <c r="A15" s="4" t="s">
        <v>46</v>
      </c>
      <c r="B15" s="4" t="str">
        <f>IF(A15="","",IFERROR(VLOOKUP($A15&amp;$L15,'On Hand Details'!$A$8:$L$219,COLUMN()+1,0),"Not Found"))</f>
        <v>WPP BAG SEVEN RING CEMENT AM SPECIAL SSCIL</v>
      </c>
      <c r="C15" s="4" t="str">
        <f>IF(B15="","",IFERROR(VLOOKUP($A15&amp;$L15,'On Hand Details'!$A$8:$L$219,COLUMN()+1,0),"Not Found"))</f>
        <v>PCS</v>
      </c>
      <c r="D15" s="4" t="str">
        <f>IF(C15="","",IFERROR(VLOOKUP($A15&amp;$L15,'On Hand Details'!$A$8:$L$219,COLUMN()+1,0),"Not Found"))</f>
        <v>PACKING MATERIALS</v>
      </c>
      <c r="E15" s="4" t="str">
        <f>IF(D15="","",IFERROR(VLOOKUP($A15&amp;$L15,'On Hand Details'!$A$8:$L$219,COLUMN()+1,0),"Not Found"))</f>
        <v>PACKING MATERIALS</v>
      </c>
      <c r="F15" s="4" t="str">
        <f>IF(E15="","",IFERROR(VLOOKUP($A15&amp;$L15,'On Hand Details'!$A$8:$L$219,COLUMN()+1,0),"Not Found"))</f>
        <v>EMPTY BAG</v>
      </c>
      <c r="G15" s="4" t="str">
        <f>IF(F15="","",IFERROR(VLOOKUP($A15&amp;$L15,'On Hand Details'!$A$8:$L$219,COLUMN()+1,0),"Not Found"))</f>
        <v>CI - SFLR</v>
      </c>
      <c r="H15" s="4">
        <f>IF(G15="","",IFERROR(VLOOKUP($A15&amp;$L15,'On Hand Details'!$A$8:$L$219,COLUMN()+1,0),"Not Found"))</f>
        <v>0</v>
      </c>
      <c r="I15" s="4">
        <f>IF(H15="","",IFERROR(VLOOKUP($A15&amp;$L15,'On Hand Details'!$A$8:$L$219,COLUMN()+1,0),"Not Found"))</f>
        <v>9377</v>
      </c>
      <c r="J15" s="4">
        <f>IF(I15="","",IFERROR(VLOOKUP($A15&amp;$L15,'On Hand Details'!$A$8:$L$219,COLUMN()+1,0),"Not Found"))</f>
        <v>21.53</v>
      </c>
      <c r="K15" s="4">
        <f>IF(J15="","",IFERROR(VLOOKUP($A15&amp;$L15,'On Hand Details'!$A$8:$L$219,COLUMN()+1,0),"Not Found"))</f>
        <v>201864.21</v>
      </c>
      <c r="L15" s="4" t="s">
        <v>65</v>
      </c>
      <c r="M15">
        <f>VLOOKUP($D$5,'[1]Monthly Summery'!A$6:CB$39,63,0)</f>
        <v>9377</v>
      </c>
      <c r="N15">
        <f t="shared" si="0"/>
        <v>0</v>
      </c>
    </row>
    <row r="16" spans="1:63">
      <c r="A16" s="4" t="s">
        <v>45</v>
      </c>
      <c r="B16" s="4" t="str">
        <f>IF(A16="","",IFERROR(VLOOKUP($A16&amp;$L16,'On Hand Details'!$A$8:$L$219,COLUMN()+1,0),"Not Found"))</f>
        <v>WPP SR CEMENT (AM) SSCIL 1PLY</v>
      </c>
      <c r="C16" s="4" t="str">
        <f>IF(B16="","",IFERROR(VLOOKUP($A16&amp;$L16,'On Hand Details'!$A$8:$L$219,COLUMN()+1,0),"Not Found"))</f>
        <v>PCS</v>
      </c>
      <c r="D16" s="4" t="str">
        <f>IF(C16="","",IFERROR(VLOOKUP($A16&amp;$L16,'On Hand Details'!$A$8:$L$219,COLUMN()+1,0),"Not Found"))</f>
        <v>PACKING MATERIALS</v>
      </c>
      <c r="E16" s="4" t="str">
        <f>IF(D16="","",IFERROR(VLOOKUP($A16&amp;$L16,'On Hand Details'!$A$8:$L$219,COLUMN()+1,0),"Not Found"))</f>
        <v>PACKING MATERIALS</v>
      </c>
      <c r="F16" s="4" t="str">
        <f>IF(E16="","",IFERROR(VLOOKUP($A16&amp;$L16,'On Hand Details'!$A$8:$L$219,COLUMN()+1,0),"Not Found"))</f>
        <v>EMPTY BAG</v>
      </c>
      <c r="G16" s="4" t="str">
        <f>IF(F16="","",IFERROR(VLOOKUP($A16&amp;$L16,'On Hand Details'!$A$8:$L$219,COLUMN()+1,0),"Not Found"))</f>
        <v>CI - SFLR</v>
      </c>
      <c r="H16" s="4">
        <f>IF(G16="","",IFERROR(VLOOKUP($A16&amp;$L16,'On Hand Details'!$A$8:$L$219,COLUMN()+1,0),"Not Found"))</f>
        <v>0</v>
      </c>
      <c r="I16" s="4">
        <f>IF(H16="","",IFERROR(VLOOKUP($A16&amp;$L16,'On Hand Details'!$A$8:$L$219,COLUMN()+1,0),"Not Found"))</f>
        <v>1738</v>
      </c>
      <c r="J16" s="4">
        <f>IF(I16="","",IFERROR(VLOOKUP($A16&amp;$L16,'On Hand Details'!$A$8:$L$219,COLUMN()+1,0),"Not Found"))</f>
        <v>15.33</v>
      </c>
      <c r="K16" s="4">
        <f>IF(J16="","",IFERROR(VLOOKUP($A16&amp;$L16,'On Hand Details'!$A$8:$L$219,COLUMN()+1,0),"Not Found"))</f>
        <v>26637.439999999999</v>
      </c>
      <c r="L16" s="4" t="s">
        <v>65</v>
      </c>
      <c r="M16">
        <f>VLOOKUP($D$5,'[1]Monthly Summery'!A$6:CB$39,64,0)+VLOOKUP($D$5,'[1]Monthly Summery'!A$6:CB$39,65,0)</f>
        <v>1738</v>
      </c>
      <c r="N16">
        <f t="shared" si="0"/>
        <v>0</v>
      </c>
    </row>
    <row r="17" spans="1:14">
      <c r="A17" s="4" t="s">
        <v>43</v>
      </c>
      <c r="B17" s="4" t="str">
        <f>IF(A17="","",IFERROR(VLOOKUP($A17&amp;$L17,'On Hand Details'!$A$8:$L$219,COLUMN()+1,0),"Not Found"))</f>
        <v>WPP BAG SEVEN RINGS CEMENT - GOLD (OPC) SSCIL</v>
      </c>
      <c r="C17" s="4" t="str">
        <f>IF(B17="","",IFERROR(VLOOKUP($A17&amp;$L17,'On Hand Details'!$A$8:$L$219,COLUMN()+1,0),"Not Found"))</f>
        <v>PCS</v>
      </c>
      <c r="D17" s="4" t="str">
        <f>IF(C17="","",IFERROR(VLOOKUP($A17&amp;$L17,'On Hand Details'!$A$8:$L$219,COLUMN()+1,0),"Not Found"))</f>
        <v>PACKING MATERIALS</v>
      </c>
      <c r="E17" s="4" t="str">
        <f>IF(D17="","",IFERROR(VLOOKUP($A17&amp;$L17,'On Hand Details'!$A$8:$L$219,COLUMN()+1,0),"Not Found"))</f>
        <v>PACKING MATERIALS</v>
      </c>
      <c r="F17" s="4" t="str">
        <f>IF(E17="","",IFERROR(VLOOKUP($A17&amp;$L17,'On Hand Details'!$A$8:$L$219,COLUMN()+1,0),"Not Found"))</f>
        <v>SR BRAND</v>
      </c>
      <c r="G17" s="4" t="str">
        <f>IF(F17="","",IFERROR(VLOOKUP($A17&amp;$L17,'On Hand Details'!$A$8:$L$219,COLUMN()+1,0),"Not Found"))</f>
        <v>CI - SFLR</v>
      </c>
      <c r="H17" s="4">
        <f>IF(G17="","",IFERROR(VLOOKUP($A17&amp;$L17,'On Hand Details'!$A$8:$L$219,COLUMN()+1,0),"Not Found"))</f>
        <v>0</v>
      </c>
      <c r="I17" s="4">
        <f>IF(H17="","",IFERROR(VLOOKUP($A17&amp;$L17,'On Hand Details'!$A$8:$L$219,COLUMN()+1,0),"Not Found"))</f>
        <v>4920</v>
      </c>
      <c r="J17" s="4">
        <f>IF(I17="","",IFERROR(VLOOKUP($A17&amp;$L17,'On Hand Details'!$A$8:$L$219,COLUMN()+1,0),"Not Found"))</f>
        <v>21.8</v>
      </c>
      <c r="K17" s="4">
        <f>IF(J17="","",IFERROR(VLOOKUP($A17&amp;$L17,'On Hand Details'!$A$8:$L$219,COLUMN()+1,0),"Not Found"))</f>
        <v>107261.22</v>
      </c>
      <c r="L17" s="4" t="s">
        <v>65</v>
      </c>
      <c r="M17">
        <f>VLOOKUP($D$5,'[1]Monthly Summery'!$A$6:$BX$37,66,0)</f>
        <v>4920</v>
      </c>
      <c r="N17">
        <f t="shared" si="0"/>
        <v>0</v>
      </c>
    </row>
    <row r="18" spans="1:14">
      <c r="A18" s="4" t="s">
        <v>44</v>
      </c>
      <c r="B18" s="4" t="str">
        <f>IF(A18="","",IFERROR(VLOOKUP($A18&amp;$L18,'On Hand Details'!$A$8:$L$219,COLUMN()+1,0),"Not Found"))</f>
        <v>WPP SR CEMENT-GOLD(OPC) SSCIL 1PLY</v>
      </c>
      <c r="C18" s="4" t="str">
        <f>IF(B18="","",IFERROR(VLOOKUP($A18&amp;$L18,'On Hand Details'!$A$8:$L$219,COLUMN()+1,0),"Not Found"))</f>
        <v>PCS</v>
      </c>
      <c r="D18" s="4" t="str">
        <f>IF(C18="","",IFERROR(VLOOKUP($A18&amp;$L18,'On Hand Details'!$A$8:$L$219,COLUMN()+1,0),"Not Found"))</f>
        <v>PACKING MATERIALS</v>
      </c>
      <c r="E18" s="4" t="str">
        <f>IF(D18="","",IFERROR(VLOOKUP($A18&amp;$L18,'On Hand Details'!$A$8:$L$219,COLUMN()+1,0),"Not Found"))</f>
        <v>PACKING MATERIALS</v>
      </c>
      <c r="F18" s="4" t="str">
        <f>IF(E18="","",IFERROR(VLOOKUP($A18&amp;$L18,'On Hand Details'!$A$8:$L$219,COLUMN()+1,0),"Not Found"))</f>
        <v>EMPTY BAG</v>
      </c>
      <c r="G18" s="4" t="str">
        <f>IF(F18="","",IFERROR(VLOOKUP($A18&amp;$L18,'On Hand Details'!$A$8:$L$219,COLUMN()+1,0),"Not Found"))</f>
        <v>CI - SFLR</v>
      </c>
      <c r="H18" s="4">
        <f>IF(G18="","",IFERROR(VLOOKUP($A18&amp;$L18,'On Hand Details'!$A$8:$L$219,COLUMN()+1,0),"Not Found"))</f>
        <v>0</v>
      </c>
      <c r="I18" s="4">
        <f>IF(H18="","",IFERROR(VLOOKUP($A18&amp;$L18,'On Hand Details'!$A$8:$L$219,COLUMN()+1,0),"Not Found"))</f>
        <v>1892</v>
      </c>
      <c r="J18" s="4">
        <f>IF(I18="","",IFERROR(VLOOKUP($A18&amp;$L18,'On Hand Details'!$A$8:$L$219,COLUMN()+1,0),"Not Found"))</f>
        <v>14.43</v>
      </c>
      <c r="K18" s="4">
        <f>IF(J18="","",IFERROR(VLOOKUP($A18&amp;$L18,'On Hand Details'!$A$8:$L$219,COLUMN()+1,0),"Not Found"))</f>
        <v>27297.38</v>
      </c>
      <c r="L18" s="4" t="s">
        <v>65</v>
      </c>
      <c r="M18">
        <f>VLOOKUP($D$5,'[1]Monthly Summery'!A$6:CB$39,67,0)+VLOOKUP($D$5,'[1]Monthly Summery'!A$6:CB$39,68,0)</f>
        <v>1892</v>
      </c>
      <c r="N18">
        <f t="shared" si="0"/>
        <v>0</v>
      </c>
    </row>
    <row r="19" spans="1:14">
      <c r="A19" s="4" t="s">
        <v>76</v>
      </c>
      <c r="B19" s="4" t="str">
        <f>IF(A19="","",IFERROR(VLOOKUP($A19&amp;$L19,'On Hand Details'!$A$8:$L$219,COLUMN()+1,0),"Not Found"))</f>
        <v>Not Found</v>
      </c>
      <c r="C19" s="4" t="str">
        <f>IF(B19="","",IFERROR(VLOOKUP($A19&amp;$L19,'On Hand Details'!$A$8:$L$219,COLUMN()+1,0),"Not Found"))</f>
        <v>Not Found</v>
      </c>
      <c r="D19" s="4" t="str">
        <f>IF(C19="","",IFERROR(VLOOKUP($A19&amp;$L19,'On Hand Details'!$A$8:$L$219,COLUMN()+1,0),"Not Found"))</f>
        <v>Not Found</v>
      </c>
      <c r="E19" s="4" t="str">
        <f>IF(D19="","",IFERROR(VLOOKUP($A19&amp;$L19,'On Hand Details'!$A$8:$L$219,COLUMN()+1,0),"Not Found"))</f>
        <v>Not Found</v>
      </c>
      <c r="F19" s="4" t="str">
        <f>IF(E19="","",IFERROR(VLOOKUP($A19&amp;$L19,'On Hand Details'!$A$8:$L$219,COLUMN()+1,0),"Not Found"))</f>
        <v>Not Found</v>
      </c>
      <c r="G19" s="4" t="str">
        <f>IF(F19="","",IFERROR(VLOOKUP($A19&amp;$L19,'On Hand Details'!$A$8:$L$219,COLUMN()+1,0),"Not Found"))</f>
        <v>Not Found</v>
      </c>
      <c r="H19" s="4" t="str">
        <f>IF(G19="","",IFERROR(VLOOKUP($A19&amp;$L19,'On Hand Details'!$A$8:$L$219,COLUMN()+1,0),"Not Found"))</f>
        <v>Not Found</v>
      </c>
      <c r="I19" s="4" t="str">
        <f>IF(H19="","",IFERROR(VLOOKUP($A19&amp;$L19,'On Hand Details'!$A$8:$L$219,COLUMN()+1,0),"Not Found"))</f>
        <v>Not Found</v>
      </c>
      <c r="J19" s="4" t="str">
        <f>IF(I19="","",IFERROR(VLOOKUP($A19&amp;$L19,'On Hand Details'!$A$8:$L$219,COLUMN()+1,0),"Not Found"))</f>
        <v>Not Found</v>
      </c>
      <c r="K19" s="4" t="str">
        <f>IF(J19="","",IFERROR(VLOOKUP($A19&amp;$L19,'On Hand Details'!$A$8:$L$219,COLUMN()+1,0),"Not Found"))</f>
        <v>Not Found</v>
      </c>
      <c r="L19" s="4" t="s">
        <v>65</v>
      </c>
      <c r="N19" t="e">
        <f t="shared" si="0"/>
        <v>#VALUE!</v>
      </c>
    </row>
    <row r="20" spans="1:14">
      <c r="A20" s="5" t="s">
        <v>68</v>
      </c>
      <c r="B20" s="5" t="str">
        <f>IF(A20="","",IFERROR(VLOOKUP($A20&amp;$L20,'On Hand Details'!$A$8:$L$219,COLUMN()+1,0),"Not Found"))</f>
        <v>BULK CEMENT B-M (PCC)</v>
      </c>
      <c r="C20" s="5" t="str">
        <f>IF(B20="","",IFERROR(VLOOKUP($A20&amp;$L20,'On Hand Details'!$A$8:$L$219,COLUMN()+1,0),"Not Found"))</f>
        <v>MT</v>
      </c>
      <c r="D20" s="5" t="str">
        <f>IF(C20="","",IFERROR(VLOOKUP($A20&amp;$L20,'On Hand Details'!$A$8:$L$219,COLUMN()+1,0),"Not Found"))</f>
        <v>FINISH GOODS</v>
      </c>
      <c r="E20" s="5" t="str">
        <f>IF(D20="","",IFERROR(VLOOKUP($A20&amp;$L20,'On Hand Details'!$A$8:$L$219,COLUMN()+1,0),"Not Found"))</f>
        <v>FINISHED GOODS</v>
      </c>
      <c r="F20" s="5" t="str">
        <f>IF(E20="","",IFERROR(VLOOKUP($A20&amp;$L20,'On Hand Details'!$A$8:$L$219,COLUMN()+1,0),"Not Found"))</f>
        <v>BULK CEMENT</v>
      </c>
      <c r="G20" s="5" t="str">
        <f>IF(F20="","",IFERROR(VLOOKUP($A20&amp;$L20,'On Hand Details'!$A$8:$L$219,COLUMN()+1,0),"Not Found"))</f>
        <v>CI - FG</v>
      </c>
      <c r="H20" s="5">
        <f>IF(G20="","",IFERROR(VLOOKUP($A20&amp;$L20,'On Hand Details'!$A$8:$L$219,COLUMN()+1,0),"Not Found"))</f>
        <v>0</v>
      </c>
      <c r="I20" s="5">
        <f>IF(H20="","",IFERROR(VLOOKUP($A20&amp;$L20,'On Hand Details'!$A$8:$L$219,COLUMN()+1,0),"Not Found"))</f>
        <v>2578.4250000000002</v>
      </c>
      <c r="J20" s="5">
        <f>IF(I20="","",IFERROR(VLOOKUP($A20&amp;$L20,'On Hand Details'!$A$8:$L$219,COLUMN()+1,0),"Not Found"))</f>
        <v>5402.17</v>
      </c>
      <c r="K20" s="5">
        <f>IF(J20="","",IFERROR(VLOOKUP($A20&amp;$L20,'On Hand Details'!$A$8:$L$219,COLUMN()+1,0),"Not Found"))</f>
        <v>13929078.060000001</v>
      </c>
      <c r="L20" s="5" t="s">
        <v>67</v>
      </c>
    </row>
    <row r="21" spans="1:14">
      <c r="A21" s="5" t="s">
        <v>69</v>
      </c>
      <c r="B21" s="5" t="str">
        <f>IF(A21="","",IFERROR(VLOOKUP($A21&amp;$L21,'On Hand Details'!$A$8:$L$219,COLUMN()+1,0),"Not Found"))</f>
        <v>BULK CEMENT A-M SPECIAL (PCC)</v>
      </c>
      <c r="C21" s="5" t="str">
        <f>IF(B21="","",IFERROR(VLOOKUP($A21&amp;$L21,'On Hand Details'!$A$8:$L$219,COLUMN()+1,0),"Not Found"))</f>
        <v>MT</v>
      </c>
      <c r="D21" s="5" t="str">
        <f>IF(C21="","",IFERROR(VLOOKUP($A21&amp;$L21,'On Hand Details'!$A$8:$L$219,COLUMN()+1,0),"Not Found"))</f>
        <v>FINISH GOODS</v>
      </c>
      <c r="E21" s="5" t="str">
        <f>IF(D21="","",IFERROR(VLOOKUP($A21&amp;$L21,'On Hand Details'!$A$8:$L$219,COLUMN()+1,0),"Not Found"))</f>
        <v>FINISHED GOODS</v>
      </c>
      <c r="F21" s="5" t="str">
        <f>IF(E21="","",IFERROR(VLOOKUP($A21&amp;$L21,'On Hand Details'!$A$8:$L$219,COLUMN()+1,0),"Not Found"))</f>
        <v>BULK CEMENT</v>
      </c>
      <c r="G21" s="5" t="str">
        <f>IF(F21="","",IFERROR(VLOOKUP($A21&amp;$L21,'On Hand Details'!$A$8:$L$219,COLUMN()+1,0),"Not Found"))</f>
        <v>CI - FG</v>
      </c>
      <c r="H21" s="5">
        <f>IF(G21="","",IFERROR(VLOOKUP($A21&amp;$L21,'On Hand Details'!$A$8:$L$219,COLUMN()+1,0),"Not Found"))</f>
        <v>0</v>
      </c>
      <c r="I21" s="5">
        <f>IF(H21="","",IFERROR(VLOOKUP($A21&amp;$L21,'On Hand Details'!$A$8:$L$219,COLUMN()+1,0),"Not Found"))</f>
        <v>1041.19</v>
      </c>
      <c r="J21" s="5">
        <f>IF(I21="","",IFERROR(VLOOKUP($A21&amp;$L21,'On Hand Details'!$A$8:$L$219,COLUMN()+1,0),"Not Found"))</f>
        <v>5424.08</v>
      </c>
      <c r="K21" s="5">
        <f>IF(J21="","",IFERROR(VLOOKUP($A21&amp;$L21,'On Hand Details'!$A$8:$L$219,COLUMN()+1,0),"Not Found"))</f>
        <v>5647499.0999999996</v>
      </c>
      <c r="L21" s="5" t="s">
        <v>67</v>
      </c>
    </row>
    <row r="22" spans="1:14">
      <c r="A22" s="5" t="s">
        <v>66</v>
      </c>
      <c r="B22" s="5" t="str">
        <f>IF(A22="","",IFERROR(VLOOKUP($A22&amp;$L22,'On Hand Details'!$A$8:$L$219,COLUMN()+1,0),"Not Found"))</f>
        <v>BULK CEMENT GOLD (OPC)</v>
      </c>
      <c r="C22" s="5" t="str">
        <f>IF(B22="","",IFERROR(VLOOKUP($A22&amp;$L22,'On Hand Details'!$A$8:$L$219,COLUMN()+1,0),"Not Found"))</f>
        <v>MT</v>
      </c>
      <c r="D22" s="5" t="str">
        <f>IF(C22="","",IFERROR(VLOOKUP($A22&amp;$L22,'On Hand Details'!$A$8:$L$219,COLUMN()+1,0),"Not Found"))</f>
        <v>FINISH GOODS</v>
      </c>
      <c r="E22" s="5" t="str">
        <f>IF(D22="","",IFERROR(VLOOKUP($A22&amp;$L22,'On Hand Details'!$A$8:$L$219,COLUMN()+1,0),"Not Found"))</f>
        <v>FINISHED GOODS</v>
      </c>
      <c r="F22" s="5" t="str">
        <f>IF(E22="","",IFERROR(VLOOKUP($A22&amp;$L22,'On Hand Details'!$A$8:$L$219,COLUMN()+1,0),"Not Found"))</f>
        <v>BULK CEMENT</v>
      </c>
      <c r="G22" s="5" t="str">
        <f>IF(F22="","",IFERROR(VLOOKUP($A22&amp;$L22,'On Hand Details'!$A$8:$L$219,COLUMN()+1,0),"Not Found"))</f>
        <v>CI - FG</v>
      </c>
      <c r="H22" s="5">
        <f>IF(G22="","",IFERROR(VLOOKUP($A22&amp;$L22,'On Hand Details'!$A$8:$L$219,COLUMN()+1,0),"Not Found"))</f>
        <v>0</v>
      </c>
      <c r="I22" s="5">
        <f>IF(H22="","",IFERROR(VLOOKUP($A22&amp;$L22,'On Hand Details'!$A$8:$L$219,COLUMN()+1,0),"Not Found"))</f>
        <v>774.52499999999998</v>
      </c>
      <c r="J22" s="5">
        <f>IF(I22="","",IFERROR(VLOOKUP($A22&amp;$L22,'On Hand Details'!$A$8:$L$219,COLUMN()+1,0),"Not Found"))</f>
        <v>6238.15</v>
      </c>
      <c r="K22" s="5">
        <f>IF(J22="","",IFERROR(VLOOKUP($A22&amp;$L22,'On Hand Details'!$A$8:$L$219,COLUMN()+1,0),"Not Found"))</f>
        <v>4831605.09</v>
      </c>
      <c r="L22" s="5" t="s">
        <v>67</v>
      </c>
    </row>
    <row r="23" spans="1:14">
      <c r="A23" s="6" t="s">
        <v>42</v>
      </c>
      <c r="B23" s="6" t="str">
        <f>IF(A23="","",IFERROR(VLOOKUP($A23&amp;$L23,'On Hand Details'!$A$8:$L$219,COLUMN()+1,0),"Not Found"))</f>
        <v>WPP BAG SEVEN RINGS BM (PCC) SSCIL</v>
      </c>
      <c r="C23" s="6" t="str">
        <f>IF(B23="","",IFERROR(VLOOKUP($A23&amp;$L23,'On Hand Details'!$A$8:$L$219,COLUMN()+1,0),"Not Found"))</f>
        <v>PCS</v>
      </c>
      <c r="D23" s="6" t="str">
        <f>IF(C23="","",IFERROR(VLOOKUP($A23&amp;$L23,'On Hand Details'!$A$8:$L$219,COLUMN()+1,0),"Not Found"))</f>
        <v>PACKING MATERIALS</v>
      </c>
      <c r="E23" s="6" t="str">
        <f>IF(D23="","",IFERROR(VLOOKUP($A23&amp;$L23,'On Hand Details'!$A$8:$L$219,COLUMN()+1,0),"Not Found"))</f>
        <v>PACKING MATERIALS</v>
      </c>
      <c r="F23" s="6" t="str">
        <f>IF(E23="","",IFERROR(VLOOKUP($A23&amp;$L23,'On Hand Details'!$A$8:$L$219,COLUMN()+1,0),"Not Found"))</f>
        <v>SR BRAND</v>
      </c>
      <c r="G23" s="6" t="str">
        <f>IF(F23="","",IFERROR(VLOOKUP($A23&amp;$L23,'On Hand Details'!$A$8:$L$219,COLUMN()+1,0),"Not Found"))</f>
        <v>CI - RM</v>
      </c>
      <c r="H23" s="6">
        <f>IF(G23="","",IFERROR(VLOOKUP($A23&amp;$L23,'On Hand Details'!$A$8:$L$219,COLUMN()+1,0),"Not Found"))</f>
        <v>0</v>
      </c>
      <c r="I23" s="6">
        <f>IF(H23="","",IFERROR(VLOOKUP($A23&amp;$L23,'On Hand Details'!$A$8:$L$219,COLUMN()+1,0),"Not Found"))</f>
        <v>159634</v>
      </c>
      <c r="J23" s="6">
        <f>IF(I23="","",IFERROR(VLOOKUP($A23&amp;$L23,'On Hand Details'!$A$8:$L$219,COLUMN()+1,0),"Not Found"))</f>
        <v>21.78</v>
      </c>
      <c r="K23" s="6">
        <f>IF(J23="","",IFERROR(VLOOKUP($A23&amp;$L23,'On Hand Details'!$A$8:$L$219,COLUMN()+1,0),"Not Found"))</f>
        <v>3477278.69</v>
      </c>
      <c r="L23" s="6" t="s">
        <v>64</v>
      </c>
    </row>
    <row r="24" spans="1:14">
      <c r="A24" s="6" t="s">
        <v>46</v>
      </c>
      <c r="B24" s="6" t="str">
        <f>IF(A24="","",IFERROR(VLOOKUP($A24&amp;$L24,'On Hand Details'!$A$8:$L$219,COLUMN()+1,0),"Not Found"))</f>
        <v>WPP BAG SEVEN RING CEMENT AM SPECIAL SSCIL</v>
      </c>
      <c r="C24" s="6" t="str">
        <f>IF(B24="","",IFERROR(VLOOKUP($A24&amp;$L24,'On Hand Details'!$A$8:$L$219,COLUMN()+1,0),"Not Found"))</f>
        <v>PCS</v>
      </c>
      <c r="D24" s="6" t="str">
        <f>IF(C24="","",IFERROR(VLOOKUP($A24&amp;$L24,'On Hand Details'!$A$8:$L$219,COLUMN()+1,0),"Not Found"))</f>
        <v>PACKING MATERIALS</v>
      </c>
      <c r="E24" s="6" t="str">
        <f>IF(D24="","",IFERROR(VLOOKUP($A24&amp;$L24,'On Hand Details'!$A$8:$L$219,COLUMN()+1,0),"Not Found"))</f>
        <v>PACKING MATERIALS</v>
      </c>
      <c r="F24" s="6" t="str">
        <f>IF(E24="","",IFERROR(VLOOKUP($A24&amp;$L24,'On Hand Details'!$A$8:$L$219,COLUMN()+1,0),"Not Found"))</f>
        <v>EMPTY BAG</v>
      </c>
      <c r="G24" s="6" t="str">
        <f>IF(F24="","",IFERROR(VLOOKUP($A24&amp;$L24,'On Hand Details'!$A$8:$L$219,COLUMN()+1,0),"Not Found"))</f>
        <v>CI - RM</v>
      </c>
      <c r="H24" s="6">
        <f>IF(G24="","",IFERROR(VLOOKUP($A24&amp;$L24,'On Hand Details'!$A$8:$L$219,COLUMN()+1,0),"Not Found"))</f>
        <v>0</v>
      </c>
      <c r="I24" s="6">
        <f>IF(H24="","",IFERROR(VLOOKUP($A24&amp;$L24,'On Hand Details'!$A$8:$L$219,COLUMN()+1,0),"Not Found"))</f>
        <v>51064</v>
      </c>
      <c r="J24" s="6">
        <f>IF(I24="","",IFERROR(VLOOKUP($A24&amp;$L24,'On Hand Details'!$A$8:$L$219,COLUMN()+1,0),"Not Found"))</f>
        <v>21.53</v>
      </c>
      <c r="K24" s="6">
        <f>IF(J24="","",IFERROR(VLOOKUP($A24&amp;$L24,'On Hand Details'!$A$8:$L$219,COLUMN()+1,0),"Not Found"))</f>
        <v>1099284.8600000001</v>
      </c>
      <c r="L24" s="6" t="s">
        <v>64</v>
      </c>
    </row>
    <row r="25" spans="1:14">
      <c r="A25" s="6" t="s">
        <v>45</v>
      </c>
      <c r="B25" s="6" t="str">
        <f>IF(A25="","",IFERROR(VLOOKUP($A25&amp;$L25,'On Hand Details'!$A$8:$L$219,COLUMN()+1,0),"Not Found"))</f>
        <v>WPP SR CEMENT (AM) SSCIL 1PLY</v>
      </c>
      <c r="C25" s="6" t="str">
        <f>IF(B25="","",IFERROR(VLOOKUP($A25&amp;$L25,'On Hand Details'!$A$8:$L$219,COLUMN()+1,0),"Not Found"))</f>
        <v>PCS</v>
      </c>
      <c r="D25" s="6" t="str">
        <f>IF(C25="","",IFERROR(VLOOKUP($A25&amp;$L25,'On Hand Details'!$A$8:$L$219,COLUMN()+1,0),"Not Found"))</f>
        <v>PACKING MATERIALS</v>
      </c>
      <c r="E25" s="6" t="str">
        <f>IF(D25="","",IFERROR(VLOOKUP($A25&amp;$L25,'On Hand Details'!$A$8:$L$219,COLUMN()+1,0),"Not Found"))</f>
        <v>PACKING MATERIALS</v>
      </c>
      <c r="F25" s="6" t="str">
        <f>IF(E25="","",IFERROR(VLOOKUP($A25&amp;$L25,'On Hand Details'!$A$8:$L$219,COLUMN()+1,0),"Not Found"))</f>
        <v>EMPTY BAG</v>
      </c>
      <c r="G25" s="6" t="str">
        <f>IF(F25="","",IFERROR(VLOOKUP($A25&amp;$L25,'On Hand Details'!$A$8:$L$219,COLUMN()+1,0),"Not Found"))</f>
        <v>CI - RM</v>
      </c>
      <c r="H25" s="6">
        <f>IF(G25="","",IFERROR(VLOOKUP($A25&amp;$L25,'On Hand Details'!$A$8:$L$219,COLUMN()+1,0),"Not Found"))</f>
        <v>0</v>
      </c>
      <c r="I25" s="6">
        <f>IF(H25="","",IFERROR(VLOOKUP($A25&amp;$L25,'On Hand Details'!$A$8:$L$219,COLUMN()+1,0),"Not Found"))</f>
        <v>2681</v>
      </c>
      <c r="J25" s="6">
        <f>IF(I25="","",IFERROR(VLOOKUP($A25&amp;$L25,'On Hand Details'!$A$8:$L$219,COLUMN()+1,0),"Not Found"))</f>
        <v>15.33</v>
      </c>
      <c r="K25" s="6">
        <f>IF(J25="","",IFERROR(VLOOKUP($A25&amp;$L25,'On Hand Details'!$A$8:$L$219,COLUMN()+1,0),"Not Found"))</f>
        <v>41090.32</v>
      </c>
      <c r="L25" s="6" t="s">
        <v>64</v>
      </c>
    </row>
    <row r="26" spans="1:14">
      <c r="A26" s="6" t="s">
        <v>43</v>
      </c>
      <c r="B26" s="6" t="str">
        <f>IF(A26="","",IFERROR(VLOOKUP($A26&amp;$L26,'On Hand Details'!$A$8:$L$219,COLUMN()+1,0),"Not Found"))</f>
        <v>WPP BAG SEVEN RINGS CEMENT - GOLD (OPC) SSCIL</v>
      </c>
      <c r="C26" s="6" t="str">
        <f>IF(B26="","",IFERROR(VLOOKUP($A26&amp;$L26,'On Hand Details'!$A$8:$L$219,COLUMN()+1,0),"Not Found"))</f>
        <v>PCS</v>
      </c>
      <c r="D26" s="6" t="str">
        <f>IF(C26="","",IFERROR(VLOOKUP($A26&amp;$L26,'On Hand Details'!$A$8:$L$219,COLUMN()+1,0),"Not Found"))</f>
        <v>PACKING MATERIALS</v>
      </c>
      <c r="E26" s="6" t="str">
        <f>IF(D26="","",IFERROR(VLOOKUP($A26&amp;$L26,'On Hand Details'!$A$8:$L$219,COLUMN()+1,0),"Not Found"))</f>
        <v>PACKING MATERIALS</v>
      </c>
      <c r="F26" s="6" t="str">
        <f>IF(E26="","",IFERROR(VLOOKUP($A26&amp;$L26,'On Hand Details'!$A$8:$L$219,COLUMN()+1,0),"Not Found"))</f>
        <v>SR BRAND</v>
      </c>
      <c r="G26" s="6" t="str">
        <f>IF(F26="","",IFERROR(VLOOKUP($A26&amp;$L26,'On Hand Details'!$A$8:$L$219,COLUMN()+1,0),"Not Found"))</f>
        <v>CI - RM</v>
      </c>
      <c r="H26" s="6">
        <f>IF(G26="","",IFERROR(VLOOKUP($A26&amp;$L26,'On Hand Details'!$A$8:$L$219,COLUMN()+1,0),"Not Found"))</f>
        <v>0</v>
      </c>
      <c r="I26" s="6">
        <f>IF(H26="","",IFERROR(VLOOKUP($A26&amp;$L26,'On Hand Details'!$A$8:$L$219,COLUMN()+1,0),"Not Found"))</f>
        <v>19201</v>
      </c>
      <c r="J26" s="6">
        <f>IF(I26="","",IFERROR(VLOOKUP($A26&amp;$L26,'On Hand Details'!$A$8:$L$219,COLUMN()+1,0),"Not Found"))</f>
        <v>21.8</v>
      </c>
      <c r="K26" s="6">
        <f>IF(J26="","",IFERROR(VLOOKUP($A26&amp;$L26,'On Hand Details'!$A$8:$L$219,COLUMN()+1,0),"Not Found"))</f>
        <v>418602.15</v>
      </c>
      <c r="L26" s="6" t="s">
        <v>64</v>
      </c>
    </row>
    <row r="27" spans="1:14">
      <c r="A27" s="6" t="s">
        <v>44</v>
      </c>
      <c r="B27" s="6" t="str">
        <f>IF(A27="","",IFERROR(VLOOKUP($A27&amp;$L27,'On Hand Details'!$A$8:$L$219,COLUMN()+1,0),"Not Found"))</f>
        <v>WPP SR CEMENT-GOLD(OPC) SSCIL 1PLY</v>
      </c>
      <c r="C27" s="6" t="str">
        <f>IF(B27="","",IFERROR(VLOOKUP($A27&amp;$L27,'On Hand Details'!$A$8:$L$219,COLUMN()+1,0),"Not Found"))</f>
        <v>PCS</v>
      </c>
      <c r="D27" s="6" t="str">
        <f>IF(C27="","",IFERROR(VLOOKUP($A27&amp;$L27,'On Hand Details'!$A$8:$L$219,COLUMN()+1,0),"Not Found"))</f>
        <v>PACKING MATERIALS</v>
      </c>
      <c r="E27" s="6" t="str">
        <f>IF(D27="","",IFERROR(VLOOKUP($A27&amp;$L27,'On Hand Details'!$A$8:$L$219,COLUMN()+1,0),"Not Found"))</f>
        <v>PACKING MATERIALS</v>
      </c>
      <c r="F27" s="6" t="str">
        <f>IF(E27="","",IFERROR(VLOOKUP($A27&amp;$L27,'On Hand Details'!$A$8:$L$219,COLUMN()+1,0),"Not Found"))</f>
        <v>EMPTY BAG</v>
      </c>
      <c r="G27" s="6" t="str">
        <f>IF(F27="","",IFERROR(VLOOKUP($A27&amp;$L27,'On Hand Details'!$A$8:$L$219,COLUMN()+1,0),"Not Found"))</f>
        <v>CI - RM</v>
      </c>
      <c r="H27" s="6">
        <f>IF(G27="","",IFERROR(VLOOKUP($A27&amp;$L27,'On Hand Details'!$A$8:$L$219,COLUMN()+1,0),"Not Found"))</f>
        <v>0</v>
      </c>
      <c r="I27" s="6">
        <f>IF(H27="","",IFERROR(VLOOKUP($A27&amp;$L27,'On Hand Details'!$A$8:$L$219,COLUMN()+1,0),"Not Found"))</f>
        <v>3397</v>
      </c>
      <c r="J27" s="6">
        <f>IF(I27="","",IFERROR(VLOOKUP($A27&amp;$L27,'On Hand Details'!$A$8:$L$219,COLUMN()+1,0),"Not Found"))</f>
        <v>14.43</v>
      </c>
      <c r="K27" s="6">
        <f>IF(J27="","",IFERROR(VLOOKUP($A27&amp;$L27,'On Hand Details'!$A$8:$L$219,COLUMN()+1,0),"Not Found"))</f>
        <v>49011.199999999997</v>
      </c>
      <c r="L27" s="6" t="s">
        <v>64</v>
      </c>
    </row>
    <row r="28" spans="1:14">
      <c r="A28" s="6" t="s">
        <v>76</v>
      </c>
      <c r="B28" s="6" t="str">
        <f>IF(A28="","",IFERROR(VLOOKUP($A28&amp;$L28,'On Hand Details'!$A$8:$L$219,COLUMN()+1,0),"Not Found"))</f>
        <v>Not Found</v>
      </c>
      <c r="C28" s="6" t="str">
        <f>IF(B28="","",IFERROR(VLOOKUP($A28&amp;$L28,'On Hand Details'!$A$8:$L$219,COLUMN()+1,0),"Not Found"))</f>
        <v>Not Found</v>
      </c>
      <c r="D28" s="6" t="str">
        <f>IF(C28="","",IFERROR(VLOOKUP($A28&amp;$L28,'On Hand Details'!$A$8:$L$219,COLUMN()+1,0),"Not Found"))</f>
        <v>Not Found</v>
      </c>
      <c r="E28" s="6" t="str">
        <f>IF(D28="","",IFERROR(VLOOKUP($A28&amp;$L28,'On Hand Details'!$A$8:$L$219,COLUMN()+1,0),"Not Found"))</f>
        <v>Not Found</v>
      </c>
      <c r="F28" s="6" t="str">
        <f>IF(E28="","",IFERROR(VLOOKUP($A28&amp;$L28,'On Hand Details'!$A$8:$L$219,COLUMN()+1,0),"Not Found"))</f>
        <v>Not Found</v>
      </c>
      <c r="G28" s="6" t="str">
        <f>IF(F28="","",IFERROR(VLOOKUP($A28&amp;$L28,'On Hand Details'!$A$8:$L$219,COLUMN()+1,0),"Not Found"))</f>
        <v>Not Found</v>
      </c>
      <c r="H28" s="6" t="str">
        <f>IF(G28="","",IFERROR(VLOOKUP($A28&amp;$L28,'On Hand Details'!$A$8:$L$219,COLUMN()+1,0),"Not Found"))</f>
        <v>Not Found</v>
      </c>
      <c r="I28" s="6" t="str">
        <f>IF(H28="","",IFERROR(VLOOKUP($A28&amp;$L28,'On Hand Details'!$A$8:$L$219,COLUMN()+1,0),"Not Found"))</f>
        <v>Not Found</v>
      </c>
      <c r="J28" s="6" t="str">
        <f>IF(I28="","",IFERROR(VLOOKUP($A28&amp;$L28,'On Hand Details'!$A$8:$L$219,COLUMN()+1,0),"Not Found"))</f>
        <v>Not Found</v>
      </c>
      <c r="K28" s="6" t="str">
        <f>IF(J28="","",IFERROR(VLOOKUP($A28&amp;$L28,'On Hand Details'!$A$8:$L$219,COLUMN()+1,0),"Not Found"))</f>
        <v>Not Found</v>
      </c>
      <c r="L28" s="6" t="s">
        <v>64</v>
      </c>
    </row>
    <row r="29" spans="1:14">
      <c r="A29" s="7"/>
      <c r="B29" s="7" t="str">
        <f>IF(A29="","",IFERROR(VLOOKUP($A29&amp;$L29,'On Hand Details'!$A$8:$L$219,COLUMN()+1,0),"Not Found"))</f>
        <v/>
      </c>
      <c r="C29" s="7" t="str">
        <f>IF(B29="","",IFERROR(VLOOKUP($A29&amp;$L29,'On Hand Details'!$A$8:$L$219,COLUMN()+1,0),"Not Found"))</f>
        <v/>
      </c>
      <c r="D29" s="7" t="str">
        <f>IF(C29="","",IFERROR(VLOOKUP($A29&amp;$L29,'On Hand Details'!$A$8:$L$219,COLUMN()+1,0),"Not Found"))</f>
        <v/>
      </c>
      <c r="E29" s="7" t="str">
        <f>IF(D29="","",IFERROR(VLOOKUP($A29&amp;$L29,'On Hand Details'!$A$8:$L$219,COLUMN()+1,0),"Not Found"))</f>
        <v/>
      </c>
      <c r="F29" s="7" t="str">
        <f>IF(E29="","",IFERROR(VLOOKUP($A29&amp;$L29,'On Hand Details'!$A$8:$L$219,COLUMN()+1,0),"Not Found"))</f>
        <v/>
      </c>
      <c r="G29" s="7" t="str">
        <f>IF(F29="","",IFERROR(VLOOKUP($A29&amp;$L29,'On Hand Details'!$A$8:$L$219,COLUMN()+1,0),"Not Found"))</f>
        <v/>
      </c>
      <c r="H29" s="7" t="str">
        <f>IF(G29="","",IFERROR(VLOOKUP($A29&amp;$L29,'On Hand Details'!$A$8:$L$219,COLUMN()+1,0),"Not Found"))</f>
        <v/>
      </c>
      <c r="I29" s="7" t="str">
        <f>IF(H29="","",IFERROR(VLOOKUP($A29&amp;$L29,'On Hand Details'!$A$8:$L$219,COLUMN()+1,0),"Not Found"))</f>
        <v/>
      </c>
      <c r="J29" s="7" t="str">
        <f>IF(I29="","",IFERROR(VLOOKUP($A29&amp;$L29,'On Hand Details'!$A$8:$L$219,COLUMN()+1,0),"Not Found"))</f>
        <v/>
      </c>
      <c r="K29" s="7" t="str">
        <f>IF(J29="","",IFERROR(VLOOKUP($A29&amp;$L29,'On Hand Details'!$A$8:$L$219,COLUMN()+1,0),"Not Found"))</f>
        <v/>
      </c>
      <c r="L29" s="7"/>
    </row>
    <row r="30" spans="1:14">
      <c r="A30" s="7"/>
      <c r="B30" s="7" t="str">
        <f>IF(A30="","",IFERROR(VLOOKUP($A30&amp;$L30,'On Hand Details'!$A$8:$L$219,COLUMN()+1,0),"Not Found"))</f>
        <v/>
      </c>
      <c r="C30" s="7" t="str">
        <f>IF(B30="","",IFERROR(VLOOKUP($A30&amp;$L30,'On Hand Details'!$A$8:$L$219,COLUMN()+1,0),"Not Found"))</f>
        <v/>
      </c>
      <c r="D30" s="7" t="str">
        <f>IF(C30="","",IFERROR(VLOOKUP($A30&amp;$L30,'On Hand Details'!$A$8:$L$219,COLUMN()+1,0),"Not Found"))</f>
        <v/>
      </c>
      <c r="E30" s="7" t="str">
        <f>IF(D30="","",IFERROR(VLOOKUP($A30&amp;$L30,'On Hand Details'!$A$8:$L$219,COLUMN()+1,0),"Not Found"))</f>
        <v/>
      </c>
      <c r="F30" s="7" t="str">
        <f>IF(E30="","",IFERROR(VLOOKUP($A30&amp;$L30,'On Hand Details'!$A$8:$L$219,COLUMN()+1,0),"Not Found"))</f>
        <v/>
      </c>
      <c r="G30" s="7" t="str">
        <f>IF(F30="","",IFERROR(VLOOKUP($A30&amp;$L30,'On Hand Details'!$A$8:$L$219,COLUMN()+1,0),"Not Found"))</f>
        <v/>
      </c>
      <c r="H30" s="7" t="str">
        <f>IF(G30="","",IFERROR(VLOOKUP($A30&amp;$L30,'On Hand Details'!$A$8:$L$219,COLUMN()+1,0),"Not Found"))</f>
        <v/>
      </c>
      <c r="I30" s="7" t="str">
        <f>IF(H30="","",IFERROR(VLOOKUP($A30&amp;$L30,'On Hand Details'!$A$8:$L$219,COLUMN()+1,0),"Not Found"))</f>
        <v/>
      </c>
      <c r="J30" s="7" t="str">
        <f>IF(I30="","",IFERROR(VLOOKUP($A30&amp;$L30,'On Hand Details'!$A$8:$L$219,COLUMN()+1,0),"Not Found"))</f>
        <v/>
      </c>
      <c r="K30" s="7" t="str">
        <f>IF(J30="","",IFERROR(VLOOKUP($A30&amp;$L30,'On Hand Details'!$A$8:$L$219,COLUMN()+1,0),"Not Found"))</f>
        <v/>
      </c>
      <c r="L30" s="7"/>
    </row>
    <row r="31" spans="1:14">
      <c r="A31" s="7"/>
      <c r="B31" s="7" t="str">
        <f>IF(A31="","",IFERROR(VLOOKUP($A31&amp;$L31,'On Hand Details'!$A$8:$L$219,COLUMN()+1,0),"Not Found"))</f>
        <v/>
      </c>
      <c r="C31" s="7" t="str">
        <f>IF(B31="","",IFERROR(VLOOKUP($A31&amp;$L31,'On Hand Details'!$A$8:$L$219,COLUMN()+1,0),"Not Found"))</f>
        <v/>
      </c>
      <c r="D31" s="7" t="str">
        <f>IF(C31="","",IFERROR(VLOOKUP($A31&amp;$L31,'On Hand Details'!$A$8:$L$219,COLUMN()+1,0),"Not Found"))</f>
        <v/>
      </c>
      <c r="E31" s="7" t="str">
        <f>IF(D31="","",IFERROR(VLOOKUP($A31&amp;$L31,'On Hand Details'!$A$8:$L$219,COLUMN()+1,0),"Not Found"))</f>
        <v/>
      </c>
      <c r="F31" s="7" t="str">
        <f>IF(E31="","",IFERROR(VLOOKUP($A31&amp;$L31,'On Hand Details'!$A$8:$L$219,COLUMN()+1,0),"Not Found"))</f>
        <v/>
      </c>
      <c r="G31" s="7" t="str">
        <f>IF(F31="","",IFERROR(VLOOKUP($A31&amp;$L31,'On Hand Details'!$A$8:$L$219,COLUMN()+1,0),"Not Found"))</f>
        <v/>
      </c>
      <c r="H31" s="7" t="str">
        <f>IF(G31="","",IFERROR(VLOOKUP($A31&amp;$L31,'On Hand Details'!$A$8:$L$219,COLUMN()+1,0),"Not Found"))</f>
        <v/>
      </c>
      <c r="I31" s="7" t="str">
        <f>IF(H31="","",IFERROR(VLOOKUP($A31&amp;$L31,'On Hand Details'!$A$8:$L$219,COLUMN()+1,0),"Not Found"))</f>
        <v/>
      </c>
      <c r="J31" s="7" t="str">
        <f>IF(I31="","",IFERROR(VLOOKUP($A31&amp;$L31,'On Hand Details'!$A$8:$L$219,COLUMN()+1,0),"Not Found"))</f>
        <v/>
      </c>
      <c r="K31" s="7" t="str">
        <f>IF(J31="","",IFERROR(VLOOKUP($A31&amp;$L31,'On Hand Details'!$A$8:$L$219,COLUMN()+1,0),"Not Found"))</f>
        <v/>
      </c>
      <c r="L31" s="7"/>
    </row>
    <row r="32" spans="1:14">
      <c r="A32" s="7"/>
      <c r="B32" s="7" t="str">
        <f>IF(A32="","",IFERROR(VLOOKUP($A32&amp;$L32,'On Hand Details'!$A$8:$L$219,COLUMN()+1,0),"Not Found"))</f>
        <v/>
      </c>
      <c r="C32" s="7" t="str">
        <f>IF(B32="","",IFERROR(VLOOKUP($A32&amp;$L32,'On Hand Details'!$A$8:$L$219,COLUMN()+1,0),"Not Found"))</f>
        <v/>
      </c>
      <c r="D32" s="7" t="str">
        <f>IF(C32="","",IFERROR(VLOOKUP($A32&amp;$L32,'On Hand Details'!$A$8:$L$219,COLUMN()+1,0),"Not Found"))</f>
        <v/>
      </c>
      <c r="E32" s="7" t="str">
        <f>IF(D32="","",IFERROR(VLOOKUP($A32&amp;$L32,'On Hand Details'!$A$8:$L$219,COLUMN()+1,0),"Not Found"))</f>
        <v/>
      </c>
      <c r="F32" s="7" t="str">
        <f>IF(E32="","",IFERROR(VLOOKUP($A32&amp;$L32,'On Hand Details'!$A$8:$L$219,COLUMN()+1,0),"Not Found"))</f>
        <v/>
      </c>
      <c r="G32" s="7" t="str">
        <f>IF(F32="","",IFERROR(VLOOKUP($A32&amp;$L32,'On Hand Details'!$A$8:$L$219,COLUMN()+1,0),"Not Found"))</f>
        <v/>
      </c>
      <c r="H32" s="7" t="str">
        <f>IF(G32="","",IFERROR(VLOOKUP($A32&amp;$L32,'On Hand Details'!$A$8:$L$219,COLUMN()+1,0),"Not Found"))</f>
        <v/>
      </c>
      <c r="I32" s="7" t="str">
        <f>IF(H32="","",IFERROR(VLOOKUP($A32&amp;$L32,'On Hand Details'!$A$8:$L$219,COLUMN()+1,0),"Not Found"))</f>
        <v/>
      </c>
      <c r="J32" s="7" t="str">
        <f>IF(I32="","",IFERROR(VLOOKUP($A32&amp;$L32,'On Hand Details'!$A$8:$L$219,COLUMN()+1,0),"Not Found"))</f>
        <v/>
      </c>
      <c r="K32" s="7" t="str">
        <f>IF(J32="","",IFERROR(VLOOKUP($A32&amp;$L32,'On Hand Details'!$A$8:$L$219,COLUMN()+1,0),"Not Found"))</f>
        <v/>
      </c>
      <c r="L32" s="7"/>
    </row>
    <row r="33" spans="1:12">
      <c r="A33" s="7"/>
      <c r="B33" s="7" t="str">
        <f>IF(A33="","",IFERROR(VLOOKUP($A33&amp;$L33,'On Hand Details'!$A$8:$L$219,COLUMN()+1,0),"Not Found"))</f>
        <v/>
      </c>
      <c r="C33" s="7" t="str">
        <f>IF(B33="","",IFERROR(VLOOKUP($A33&amp;$L33,'On Hand Details'!$A$8:$L$219,COLUMN()+1,0),"Not Found"))</f>
        <v/>
      </c>
      <c r="D33" s="7" t="str">
        <f>IF(C33="","",IFERROR(VLOOKUP($A33&amp;$L33,'On Hand Details'!$A$8:$L$219,COLUMN()+1,0),"Not Found"))</f>
        <v/>
      </c>
      <c r="E33" s="7" t="str">
        <f>IF(D33="","",IFERROR(VLOOKUP($A33&amp;$L33,'On Hand Details'!$A$8:$L$219,COLUMN()+1,0),"Not Found"))</f>
        <v/>
      </c>
      <c r="F33" s="7" t="str">
        <f>IF(E33="","",IFERROR(VLOOKUP($A33&amp;$L33,'On Hand Details'!$A$8:$L$219,COLUMN()+1,0),"Not Found"))</f>
        <v/>
      </c>
      <c r="G33" s="7" t="str">
        <f>IF(F33="","",IFERROR(VLOOKUP($A33&amp;$L33,'On Hand Details'!$A$8:$L$219,COLUMN()+1,0),"Not Found"))</f>
        <v/>
      </c>
      <c r="H33" s="7" t="str">
        <f>IF(G33="","",IFERROR(VLOOKUP($A33&amp;$L33,'On Hand Details'!$A$8:$L$219,COLUMN()+1,0),"Not Found"))</f>
        <v/>
      </c>
      <c r="I33" s="7" t="str">
        <f>IF(H33="","",IFERROR(VLOOKUP($A33&amp;$L33,'On Hand Details'!$A$8:$L$219,COLUMN()+1,0),"Not Found"))</f>
        <v/>
      </c>
      <c r="J33" s="7" t="str">
        <f>IF(I33="","",IFERROR(VLOOKUP($A33&amp;$L33,'On Hand Details'!$A$8:$L$219,COLUMN()+1,0),"Not Found"))</f>
        <v/>
      </c>
      <c r="K33" s="7" t="str">
        <f>IF(J33="","",IFERROR(VLOOKUP($A33&amp;$L33,'On Hand Details'!$A$8:$L$219,COLUMN()+1,0),"Not Found"))</f>
        <v/>
      </c>
      <c r="L33" s="7"/>
    </row>
    <row r="34" spans="1:12">
      <c r="A34" s="7"/>
      <c r="B34" s="7" t="str">
        <f>IF(A34="","",IFERROR(VLOOKUP($A34&amp;$L34,'On Hand Details'!$A$8:$L$219,COLUMN()+1,0),"Not Found"))</f>
        <v/>
      </c>
      <c r="C34" s="7" t="str">
        <f>IF(B34="","",IFERROR(VLOOKUP($A34&amp;$L34,'On Hand Details'!$A$8:$L$219,COLUMN()+1,0),"Not Found"))</f>
        <v/>
      </c>
      <c r="D34" s="7" t="str">
        <f>IF(C34="","",IFERROR(VLOOKUP($A34&amp;$L34,'On Hand Details'!$A$8:$L$219,COLUMN()+1,0),"Not Found"))</f>
        <v/>
      </c>
      <c r="E34" s="7" t="str">
        <f>IF(D34="","",IFERROR(VLOOKUP($A34&amp;$L34,'On Hand Details'!$A$8:$L$219,COLUMN()+1,0),"Not Found"))</f>
        <v/>
      </c>
      <c r="F34" s="7" t="str">
        <f>IF(E34="","",IFERROR(VLOOKUP($A34&amp;$L34,'On Hand Details'!$A$8:$L$219,COLUMN()+1,0),"Not Found"))</f>
        <v/>
      </c>
      <c r="G34" s="7" t="str">
        <f>IF(F34="","",IFERROR(VLOOKUP($A34&amp;$L34,'On Hand Details'!$A$8:$L$219,COLUMN()+1,0),"Not Found"))</f>
        <v/>
      </c>
      <c r="H34" s="7" t="str">
        <f>IF(G34="","",IFERROR(VLOOKUP($A34&amp;$L34,'On Hand Details'!$A$8:$L$219,COLUMN()+1,0),"Not Found"))</f>
        <v/>
      </c>
      <c r="I34" s="7" t="str">
        <f>IF(H34="","",IFERROR(VLOOKUP($A34&amp;$L34,'On Hand Details'!$A$8:$L$219,COLUMN()+1,0),"Not Found"))</f>
        <v/>
      </c>
      <c r="J34" s="7" t="str">
        <f>IF(I34="","",IFERROR(VLOOKUP($A34&amp;$L34,'On Hand Details'!$A$8:$L$219,COLUMN()+1,0),"Not Found"))</f>
        <v/>
      </c>
      <c r="K34" s="7" t="str">
        <f>IF(J34="","",IFERROR(VLOOKUP($A34&amp;$L34,'On Hand Details'!$A$8:$L$219,COLUMN()+1,0),"Not Found"))</f>
        <v/>
      </c>
      <c r="L34" s="7"/>
    </row>
    <row r="35" spans="1:12">
      <c r="A35" s="7"/>
      <c r="B35" s="7" t="str">
        <f>IF(A35="","",IFERROR(VLOOKUP($A35&amp;$L35,'On Hand Details'!$A$8:$L$219,COLUMN()+1,0),"Not Found"))</f>
        <v/>
      </c>
      <c r="C35" s="7" t="str">
        <f>IF(B35="","",IFERROR(VLOOKUP($A35&amp;$L35,'On Hand Details'!$A$8:$L$219,COLUMN()+1,0),"Not Found"))</f>
        <v/>
      </c>
      <c r="D35" s="7" t="str">
        <f>IF(C35="","",IFERROR(VLOOKUP($A35&amp;$L35,'On Hand Details'!$A$8:$L$219,COLUMN()+1,0),"Not Found"))</f>
        <v/>
      </c>
      <c r="E35" s="7" t="str">
        <f>IF(D35="","",IFERROR(VLOOKUP($A35&amp;$L35,'On Hand Details'!$A$8:$L$219,COLUMN()+1,0),"Not Found"))</f>
        <v/>
      </c>
      <c r="F35" s="7" t="str">
        <f>IF(E35="","",IFERROR(VLOOKUP($A35&amp;$L35,'On Hand Details'!$A$8:$L$219,COLUMN()+1,0),"Not Found"))</f>
        <v/>
      </c>
      <c r="G35" s="7" t="str">
        <f>IF(F35="","",IFERROR(VLOOKUP($A35&amp;$L35,'On Hand Details'!$A$8:$L$219,COLUMN()+1,0),"Not Found"))</f>
        <v/>
      </c>
      <c r="H35" s="7" t="str">
        <f>IF(G35="","",IFERROR(VLOOKUP($A35&amp;$L35,'On Hand Details'!$A$8:$L$219,COLUMN()+1,0),"Not Found"))</f>
        <v/>
      </c>
      <c r="I35" s="7" t="str">
        <f>IF(H35="","",IFERROR(VLOOKUP($A35&amp;$L35,'On Hand Details'!$A$8:$L$219,COLUMN()+1,0),"Not Found"))</f>
        <v/>
      </c>
      <c r="J35" s="7" t="str">
        <f>IF(I35="","",IFERROR(VLOOKUP($A35&amp;$L35,'On Hand Details'!$A$8:$L$219,COLUMN()+1,0),"Not Found"))</f>
        <v/>
      </c>
      <c r="K35" s="7" t="str">
        <f>IF(J35="","",IFERROR(VLOOKUP($A35&amp;$L35,'On Hand Details'!$A$8:$L$219,COLUMN()+1,0),"Not Found"))</f>
        <v/>
      </c>
      <c r="L35" s="7"/>
    </row>
    <row r="36" spans="1:12">
      <c r="A36" s="7"/>
      <c r="B36" s="7" t="str">
        <f>IF(A36="","",IFERROR(VLOOKUP($A36&amp;$L36,'On Hand Details'!$A$8:$L$219,COLUMN()+1,0),"Not Found"))</f>
        <v/>
      </c>
      <c r="C36" s="7" t="str">
        <f>IF(B36="","",IFERROR(VLOOKUP($A36&amp;$L36,'On Hand Details'!$A$8:$L$219,COLUMN()+1,0),"Not Found"))</f>
        <v/>
      </c>
      <c r="D36" s="7" t="str">
        <f>IF(C36="","",IFERROR(VLOOKUP($A36&amp;$L36,'On Hand Details'!$A$8:$L$219,COLUMN()+1,0),"Not Found"))</f>
        <v/>
      </c>
      <c r="E36" s="7" t="str">
        <f>IF(D36="","",IFERROR(VLOOKUP($A36&amp;$L36,'On Hand Details'!$A$8:$L$219,COLUMN()+1,0),"Not Found"))</f>
        <v/>
      </c>
      <c r="F36" s="7" t="str">
        <f>IF(E36="","",IFERROR(VLOOKUP($A36&amp;$L36,'On Hand Details'!$A$8:$L$219,COLUMN()+1,0),"Not Found"))</f>
        <v/>
      </c>
      <c r="G36" s="7" t="str">
        <f>IF(F36="","",IFERROR(VLOOKUP($A36&amp;$L36,'On Hand Details'!$A$8:$L$219,COLUMN()+1,0),"Not Found"))</f>
        <v/>
      </c>
      <c r="H36" s="7" t="str">
        <f>IF(G36="","",IFERROR(VLOOKUP($A36&amp;$L36,'On Hand Details'!$A$8:$L$219,COLUMN()+1,0),"Not Found"))</f>
        <v/>
      </c>
      <c r="I36" s="7" t="str">
        <f>IF(H36="","",IFERROR(VLOOKUP($A36&amp;$L36,'On Hand Details'!$A$8:$L$219,COLUMN()+1,0),"Not Found"))</f>
        <v/>
      </c>
      <c r="J36" s="7" t="str">
        <f>IF(I36="","",IFERROR(VLOOKUP($A36&amp;$L36,'On Hand Details'!$A$8:$L$219,COLUMN()+1,0),"Not Found"))</f>
        <v/>
      </c>
      <c r="K36" s="7" t="str">
        <f>IF(J36="","",IFERROR(VLOOKUP($A36&amp;$L36,'On Hand Details'!$A$8:$L$219,COLUMN()+1,0),"Not Found"))</f>
        <v/>
      </c>
      <c r="L36" s="7"/>
    </row>
    <row r="37" spans="1:12">
      <c r="A37" s="7"/>
      <c r="B37" s="7" t="str">
        <f>IF(A37="","",IFERROR(VLOOKUP($A37&amp;$L37,'On Hand Details'!$A$8:$L$219,COLUMN()+1,0),"Not Found"))</f>
        <v/>
      </c>
      <c r="C37" s="7" t="str">
        <f>IF(B37="","",IFERROR(VLOOKUP($A37&amp;$L37,'On Hand Details'!$A$8:$L$219,COLUMN()+1,0),"Not Found"))</f>
        <v/>
      </c>
      <c r="D37" s="7" t="str">
        <f>IF(C37="","",IFERROR(VLOOKUP($A37&amp;$L37,'On Hand Details'!$A$8:$L$219,COLUMN()+1,0),"Not Found"))</f>
        <v/>
      </c>
      <c r="E37" s="7" t="str">
        <f>IF(D37="","",IFERROR(VLOOKUP($A37&amp;$L37,'On Hand Details'!$A$8:$L$219,COLUMN()+1,0),"Not Found"))</f>
        <v/>
      </c>
      <c r="F37" s="7" t="str">
        <f>IF(E37="","",IFERROR(VLOOKUP($A37&amp;$L37,'On Hand Details'!$A$8:$L$219,COLUMN()+1,0),"Not Found"))</f>
        <v/>
      </c>
      <c r="G37" s="7" t="str">
        <f>IF(F37="","",IFERROR(VLOOKUP($A37&amp;$L37,'On Hand Details'!$A$8:$L$219,COLUMN()+1,0),"Not Found"))</f>
        <v/>
      </c>
      <c r="H37" s="7" t="str">
        <f>IF(G37="","",IFERROR(VLOOKUP($A37&amp;$L37,'On Hand Details'!$A$8:$L$219,COLUMN()+1,0),"Not Found"))</f>
        <v/>
      </c>
      <c r="I37" s="7" t="str">
        <f>IF(H37="","",IFERROR(VLOOKUP($A37&amp;$L37,'On Hand Details'!$A$8:$L$219,COLUMN()+1,0),"Not Found"))</f>
        <v/>
      </c>
      <c r="J37" s="7" t="str">
        <f>IF(I37="","",IFERROR(VLOOKUP($A37&amp;$L37,'On Hand Details'!$A$8:$L$219,COLUMN()+1,0),"Not Found"))</f>
        <v/>
      </c>
      <c r="K37" s="7" t="str">
        <f>IF(J37="","",IFERROR(VLOOKUP($A37&amp;$L37,'On Hand Details'!$A$8:$L$219,COLUMN()+1,0),"Not Found"))</f>
        <v/>
      </c>
      <c r="L37" s="7"/>
    </row>
    <row r="38" spans="1:12">
      <c r="A38" s="7"/>
      <c r="B38" s="7" t="str">
        <f>IF(A38="","",IFERROR(VLOOKUP($A38&amp;$L38,'On Hand Details'!$A$8:$L$219,COLUMN()+1,0),"Not Found"))</f>
        <v/>
      </c>
      <c r="C38" s="7" t="str">
        <f>IF(B38="","",IFERROR(VLOOKUP($A38&amp;$L38,'On Hand Details'!$A$8:$L$219,COLUMN()+1,0),"Not Found"))</f>
        <v/>
      </c>
      <c r="D38" s="7" t="str">
        <f>IF(C38="","",IFERROR(VLOOKUP($A38&amp;$L38,'On Hand Details'!$A$8:$L$219,COLUMN()+1,0),"Not Found"))</f>
        <v/>
      </c>
      <c r="E38" s="7" t="str">
        <f>IF(D38="","",IFERROR(VLOOKUP($A38&amp;$L38,'On Hand Details'!$A$8:$L$219,COLUMN()+1,0),"Not Found"))</f>
        <v/>
      </c>
      <c r="F38" s="7" t="str">
        <f>IF(E38="","",IFERROR(VLOOKUP($A38&amp;$L38,'On Hand Details'!$A$8:$L$219,COLUMN()+1,0),"Not Found"))</f>
        <v/>
      </c>
      <c r="G38" s="7" t="str">
        <f>IF(F38="","",IFERROR(VLOOKUP($A38&amp;$L38,'On Hand Details'!$A$8:$L$219,COLUMN()+1,0),"Not Found"))</f>
        <v/>
      </c>
      <c r="H38" s="7" t="str">
        <f>IF(G38="","",IFERROR(VLOOKUP($A38&amp;$L38,'On Hand Details'!$A$8:$L$219,COLUMN()+1,0),"Not Found"))</f>
        <v/>
      </c>
      <c r="I38" s="7" t="str">
        <f>IF(H38="","",IFERROR(VLOOKUP($A38&amp;$L38,'On Hand Details'!$A$8:$L$219,COLUMN()+1,0),"Not Found"))</f>
        <v/>
      </c>
      <c r="J38" s="7" t="str">
        <f>IF(I38="","",IFERROR(VLOOKUP($A38&amp;$L38,'On Hand Details'!$A$8:$L$219,COLUMN()+1,0),"Not Found"))</f>
        <v/>
      </c>
      <c r="K38" s="7" t="str">
        <f>IF(J38="","",IFERROR(VLOOKUP($A38&amp;$L38,'On Hand Details'!$A$8:$L$219,COLUMN()+1,0),"Not Found"))</f>
        <v/>
      </c>
      <c r="L38" s="7"/>
    </row>
    <row r="39" spans="1:12">
      <c r="A39" s="7"/>
      <c r="B39" s="7" t="str">
        <f>IF(A39="","",IFERROR(VLOOKUP($A39&amp;$L39,'On Hand Details'!$A$8:$L$219,COLUMN()+1,0),"Not Found"))</f>
        <v/>
      </c>
      <c r="C39" s="7" t="str">
        <f>IF(B39="","",IFERROR(VLOOKUP($A39&amp;$L39,'On Hand Details'!$A$8:$L$219,COLUMN()+1,0),"Not Found"))</f>
        <v/>
      </c>
      <c r="D39" s="7" t="str">
        <f>IF(C39="","",IFERROR(VLOOKUP($A39&amp;$L39,'On Hand Details'!$A$8:$L$219,COLUMN()+1,0),"Not Found"))</f>
        <v/>
      </c>
      <c r="E39" s="7" t="str">
        <f>IF(D39="","",IFERROR(VLOOKUP($A39&amp;$L39,'On Hand Details'!$A$8:$L$219,COLUMN()+1,0),"Not Found"))</f>
        <v/>
      </c>
      <c r="F39" s="7" t="str">
        <f>IF(E39="","",IFERROR(VLOOKUP($A39&amp;$L39,'On Hand Details'!$A$8:$L$219,COLUMN()+1,0),"Not Found"))</f>
        <v/>
      </c>
      <c r="G39" s="7" t="str">
        <f>IF(F39="","",IFERROR(VLOOKUP($A39&amp;$L39,'On Hand Details'!$A$8:$L$219,COLUMN()+1,0),"Not Found"))</f>
        <v/>
      </c>
      <c r="H39" s="7" t="str">
        <f>IF(G39="","",IFERROR(VLOOKUP($A39&amp;$L39,'On Hand Details'!$A$8:$L$219,COLUMN()+1,0),"Not Found"))</f>
        <v/>
      </c>
      <c r="I39" s="7" t="str">
        <f>IF(H39="","",IFERROR(VLOOKUP($A39&amp;$L39,'On Hand Details'!$A$8:$L$219,COLUMN()+1,0),"Not Found"))</f>
        <v/>
      </c>
      <c r="J39" s="7" t="str">
        <f>IF(I39="","",IFERROR(VLOOKUP($A39&amp;$L39,'On Hand Details'!$A$8:$L$219,COLUMN()+1,0),"Not Found"))</f>
        <v/>
      </c>
      <c r="K39" s="7" t="str">
        <f>IF(J39="","",IFERROR(VLOOKUP($A39&amp;$L39,'On Hand Details'!$A$8:$L$219,COLUMN()+1,0),"Not Found"))</f>
        <v/>
      </c>
      <c r="L39" s="7"/>
    </row>
    <row r="40" spans="1:12">
      <c r="A40" s="7"/>
      <c r="B40" s="7" t="str">
        <f>IF(A40="","",IFERROR(VLOOKUP($A40&amp;$L40,'On Hand Details'!$A$8:$L$219,COLUMN()+1,0),"Not Found"))</f>
        <v/>
      </c>
      <c r="C40" s="7" t="str">
        <f>IF(B40="","",IFERROR(VLOOKUP($A40&amp;$L40,'On Hand Details'!$A$8:$L$219,COLUMN()+1,0),"Not Found"))</f>
        <v/>
      </c>
      <c r="D40" s="7" t="str">
        <f>IF(C40="","",IFERROR(VLOOKUP($A40&amp;$L40,'On Hand Details'!$A$8:$L$219,COLUMN()+1,0),"Not Found"))</f>
        <v/>
      </c>
      <c r="E40" s="7" t="str">
        <f>IF(D40="","",IFERROR(VLOOKUP($A40&amp;$L40,'On Hand Details'!$A$8:$L$219,COLUMN()+1,0),"Not Found"))</f>
        <v/>
      </c>
      <c r="F40" s="7" t="str">
        <f>IF(E40="","",IFERROR(VLOOKUP($A40&amp;$L40,'On Hand Details'!$A$8:$L$219,COLUMN()+1,0),"Not Found"))</f>
        <v/>
      </c>
      <c r="G40" s="7" t="str">
        <f>IF(F40="","",IFERROR(VLOOKUP($A40&amp;$L40,'On Hand Details'!$A$8:$L$219,COLUMN()+1,0),"Not Found"))</f>
        <v/>
      </c>
      <c r="H40" s="7" t="str">
        <f>IF(G40="","",IFERROR(VLOOKUP($A40&amp;$L40,'On Hand Details'!$A$8:$L$219,COLUMN()+1,0),"Not Found"))</f>
        <v/>
      </c>
      <c r="I40" s="7" t="str">
        <f>IF(H40="","",IFERROR(VLOOKUP($A40&amp;$L40,'On Hand Details'!$A$8:$L$219,COLUMN()+1,0),"Not Found"))</f>
        <v/>
      </c>
      <c r="J40" s="7" t="str">
        <f>IF(I40="","",IFERROR(VLOOKUP($A40&amp;$L40,'On Hand Details'!$A$8:$L$219,COLUMN()+1,0),"Not Found"))</f>
        <v/>
      </c>
      <c r="K40" s="7" t="str">
        <f>IF(J40="","",IFERROR(VLOOKUP($A40&amp;$L40,'On Hand Details'!$A$8:$L$219,COLUMN()+1,0),"Not Found"))</f>
        <v/>
      </c>
      <c r="L40" s="7"/>
    </row>
    <row r="41" spans="1:12">
      <c r="A41" s="7"/>
      <c r="B41" s="7" t="str">
        <f>IF(A41="","",IFERROR(VLOOKUP($A41&amp;$L41,'On Hand Details'!$A$8:$L$219,COLUMN()+1,0),"Not Found"))</f>
        <v/>
      </c>
      <c r="C41" s="7" t="str">
        <f>IF(B41="","",IFERROR(VLOOKUP($A41&amp;$L41,'On Hand Details'!$A$8:$L$219,COLUMN()+1,0),"Not Found"))</f>
        <v/>
      </c>
      <c r="D41" s="7" t="str">
        <f>IF(C41="","",IFERROR(VLOOKUP($A41&amp;$L41,'On Hand Details'!$A$8:$L$219,COLUMN()+1,0),"Not Found"))</f>
        <v/>
      </c>
      <c r="E41" s="7" t="str">
        <f>IF(D41="","",IFERROR(VLOOKUP($A41&amp;$L41,'On Hand Details'!$A$8:$L$219,COLUMN()+1,0),"Not Found"))</f>
        <v/>
      </c>
      <c r="F41" s="7" t="str">
        <f>IF(E41="","",IFERROR(VLOOKUP($A41&amp;$L41,'On Hand Details'!$A$8:$L$219,COLUMN()+1,0),"Not Found"))</f>
        <v/>
      </c>
      <c r="G41" s="7" t="str">
        <f>IF(F41="","",IFERROR(VLOOKUP($A41&amp;$L41,'On Hand Details'!$A$8:$L$219,COLUMN()+1,0),"Not Found"))</f>
        <v/>
      </c>
      <c r="H41" s="7" t="str">
        <f>IF(G41="","",IFERROR(VLOOKUP($A41&amp;$L41,'On Hand Details'!$A$8:$L$219,COLUMN()+1,0),"Not Found"))</f>
        <v/>
      </c>
      <c r="I41" s="7" t="str">
        <f>IF(H41="","",IFERROR(VLOOKUP($A41&amp;$L41,'On Hand Details'!$A$8:$L$219,COLUMN()+1,0),"Not Found"))</f>
        <v/>
      </c>
      <c r="J41" s="7" t="str">
        <f>IF(I41="","",IFERROR(VLOOKUP($A41&amp;$L41,'On Hand Details'!$A$8:$L$219,COLUMN()+1,0),"Not Found"))</f>
        <v/>
      </c>
      <c r="K41" s="7" t="str">
        <f>IF(J41="","",IFERROR(VLOOKUP($A41&amp;$L41,'On Hand Details'!$A$8:$L$219,COLUMN()+1,0),"Not Found"))</f>
        <v/>
      </c>
      <c r="L41" s="7"/>
    </row>
    <row r="42" spans="1:12">
      <c r="A42" s="7"/>
      <c r="B42" s="7" t="str">
        <f>IF(A42="","",IFERROR(VLOOKUP($A42&amp;$L42,'On Hand Details'!$A$8:$L$219,COLUMN()+1,0),"Not Found"))</f>
        <v/>
      </c>
      <c r="C42" s="7" t="str">
        <f>IF(B42="","",IFERROR(VLOOKUP($A42&amp;$L42,'On Hand Details'!$A$8:$L$219,COLUMN()+1,0),"Not Found"))</f>
        <v/>
      </c>
      <c r="D42" s="7" t="str">
        <f>IF(C42="","",IFERROR(VLOOKUP($A42&amp;$L42,'On Hand Details'!$A$8:$L$219,COLUMN()+1,0),"Not Found"))</f>
        <v/>
      </c>
      <c r="E42" s="7" t="str">
        <f>IF(D42="","",IFERROR(VLOOKUP($A42&amp;$L42,'On Hand Details'!$A$8:$L$219,COLUMN()+1,0),"Not Found"))</f>
        <v/>
      </c>
      <c r="F42" s="7" t="str">
        <f>IF(E42="","",IFERROR(VLOOKUP($A42&amp;$L42,'On Hand Details'!$A$8:$L$219,COLUMN()+1,0),"Not Found"))</f>
        <v/>
      </c>
      <c r="G42" s="7" t="str">
        <f>IF(F42="","",IFERROR(VLOOKUP($A42&amp;$L42,'On Hand Details'!$A$8:$L$219,COLUMN()+1,0),"Not Found"))</f>
        <v/>
      </c>
      <c r="H42" s="7" t="str">
        <f>IF(G42="","",IFERROR(VLOOKUP($A42&amp;$L42,'On Hand Details'!$A$8:$L$219,COLUMN()+1,0),"Not Found"))</f>
        <v/>
      </c>
      <c r="I42" s="7" t="str">
        <f>IF(H42="","",IFERROR(VLOOKUP($A42&amp;$L42,'On Hand Details'!$A$8:$L$219,COLUMN()+1,0),"Not Found"))</f>
        <v/>
      </c>
      <c r="J42" s="7" t="str">
        <f>IF(I42="","",IFERROR(VLOOKUP($A42&amp;$L42,'On Hand Details'!$A$8:$L$219,COLUMN()+1,0),"Not Found"))</f>
        <v/>
      </c>
      <c r="K42" s="7" t="str">
        <f>IF(J42="","",IFERROR(VLOOKUP($A42&amp;$L42,'On Hand Details'!$A$8:$L$219,COLUMN()+1,0),"Not Found"))</f>
        <v/>
      </c>
      <c r="L42" s="7"/>
    </row>
    <row r="43" spans="1:12">
      <c r="A43" s="7"/>
      <c r="B43" s="7" t="str">
        <f>IF(A43="","",IFERROR(VLOOKUP($A43&amp;$L43,'On Hand Details'!$A$8:$L$219,COLUMN()+1,0),"Not Found"))</f>
        <v/>
      </c>
      <c r="C43" s="7" t="str">
        <f>IF(B43="","",IFERROR(VLOOKUP($A43&amp;$L43,'On Hand Details'!$A$8:$L$219,COLUMN()+1,0),"Not Found"))</f>
        <v/>
      </c>
      <c r="D43" s="7" t="str">
        <f>IF(C43="","",IFERROR(VLOOKUP($A43&amp;$L43,'On Hand Details'!$A$8:$L$219,COLUMN()+1,0),"Not Found"))</f>
        <v/>
      </c>
      <c r="E43" s="7" t="str">
        <f>IF(D43="","",IFERROR(VLOOKUP($A43&amp;$L43,'On Hand Details'!$A$8:$L$219,COLUMN()+1,0),"Not Found"))</f>
        <v/>
      </c>
      <c r="F43" s="7" t="str">
        <f>IF(E43="","",IFERROR(VLOOKUP($A43&amp;$L43,'On Hand Details'!$A$8:$L$219,COLUMN()+1,0),"Not Found"))</f>
        <v/>
      </c>
      <c r="G43" s="7" t="str">
        <f>IF(F43="","",IFERROR(VLOOKUP($A43&amp;$L43,'On Hand Details'!$A$8:$L$219,COLUMN()+1,0),"Not Found"))</f>
        <v/>
      </c>
      <c r="H43" s="7" t="str">
        <f>IF(G43="","",IFERROR(VLOOKUP($A43&amp;$L43,'On Hand Details'!$A$8:$L$219,COLUMN()+1,0),"Not Found"))</f>
        <v/>
      </c>
      <c r="I43" s="7" t="str">
        <f>IF(H43="","",IFERROR(VLOOKUP($A43&amp;$L43,'On Hand Details'!$A$8:$L$219,COLUMN()+1,0),"Not Found"))</f>
        <v/>
      </c>
      <c r="J43" s="7" t="str">
        <f>IF(I43="","",IFERROR(VLOOKUP($A43&amp;$L43,'On Hand Details'!$A$8:$L$219,COLUMN()+1,0),"Not Found"))</f>
        <v/>
      </c>
      <c r="K43" s="7" t="str">
        <f>IF(J43="","",IFERROR(VLOOKUP($A43&amp;$L43,'On Hand Details'!$A$8:$L$219,COLUMN()+1,0),"Not Found"))</f>
        <v/>
      </c>
      <c r="L43" s="7"/>
    </row>
    <row r="44" spans="1:12">
      <c r="A44" s="7"/>
      <c r="B44" s="7" t="str">
        <f>IF(A44="","",IFERROR(VLOOKUP($A44&amp;$L44,'On Hand Details'!$A$8:$L$219,COLUMN()+1,0),"Not Found"))</f>
        <v/>
      </c>
      <c r="C44" s="7" t="str">
        <f>IF(B44="","",IFERROR(VLOOKUP($A44&amp;$L44,'On Hand Details'!$A$8:$L$219,COLUMN()+1,0),"Not Found"))</f>
        <v/>
      </c>
      <c r="D44" s="7" t="str">
        <f>IF(C44="","",IFERROR(VLOOKUP($A44&amp;$L44,'On Hand Details'!$A$8:$L$219,COLUMN()+1,0),"Not Found"))</f>
        <v/>
      </c>
      <c r="E44" s="7" t="str">
        <f>IF(D44="","",IFERROR(VLOOKUP($A44&amp;$L44,'On Hand Details'!$A$8:$L$219,COLUMN()+1,0),"Not Found"))</f>
        <v/>
      </c>
      <c r="F44" s="7" t="str">
        <f>IF(E44="","",IFERROR(VLOOKUP($A44&amp;$L44,'On Hand Details'!$A$8:$L$219,COLUMN()+1,0),"Not Found"))</f>
        <v/>
      </c>
      <c r="G44" s="7" t="str">
        <f>IF(F44="","",IFERROR(VLOOKUP($A44&amp;$L44,'On Hand Details'!$A$8:$L$219,COLUMN()+1,0),"Not Found"))</f>
        <v/>
      </c>
      <c r="H44" s="7" t="str">
        <f>IF(G44="","",IFERROR(VLOOKUP($A44&amp;$L44,'On Hand Details'!$A$8:$L$219,COLUMN()+1,0),"Not Found"))</f>
        <v/>
      </c>
      <c r="I44" s="7" t="str">
        <f>IF(H44="","",IFERROR(VLOOKUP($A44&amp;$L44,'On Hand Details'!$A$8:$L$219,COLUMN()+1,0),"Not Found"))</f>
        <v/>
      </c>
      <c r="J44" s="7" t="str">
        <f>IF(I44="","",IFERROR(VLOOKUP($A44&amp;$L44,'On Hand Details'!$A$8:$L$219,COLUMN()+1,0),"Not Found"))</f>
        <v/>
      </c>
      <c r="K44" s="7" t="str">
        <f>IF(J44="","",IFERROR(VLOOKUP($A44&amp;$L44,'On Hand Details'!$A$8:$L$219,COLUMN()+1,0),"Not Found"))</f>
        <v/>
      </c>
      <c r="L44" s="7"/>
    </row>
    <row r="45" spans="1:12">
      <c r="A45" s="7"/>
      <c r="B45" s="7" t="str">
        <f>IF(A45="","",IFERROR(VLOOKUP($A45&amp;$L45,'On Hand Details'!$A$8:$L$219,COLUMN()+1,0),"Not Found"))</f>
        <v/>
      </c>
      <c r="C45" s="7" t="str">
        <f>IF(B45="","",IFERROR(VLOOKUP($A45&amp;$L45,'On Hand Details'!$A$8:$L$219,COLUMN()+1,0),"Not Found"))</f>
        <v/>
      </c>
      <c r="D45" s="7" t="str">
        <f>IF(C45="","",IFERROR(VLOOKUP($A45&amp;$L45,'On Hand Details'!$A$8:$L$219,COLUMN()+1,0),"Not Found"))</f>
        <v/>
      </c>
      <c r="E45" s="7" t="str">
        <f>IF(D45="","",IFERROR(VLOOKUP($A45&amp;$L45,'On Hand Details'!$A$8:$L$219,COLUMN()+1,0),"Not Found"))</f>
        <v/>
      </c>
      <c r="F45" s="7" t="str">
        <f>IF(E45="","",IFERROR(VLOOKUP($A45&amp;$L45,'On Hand Details'!$A$8:$L$219,COLUMN()+1,0),"Not Found"))</f>
        <v/>
      </c>
      <c r="G45" s="7" t="str">
        <f>IF(F45="","",IFERROR(VLOOKUP($A45&amp;$L45,'On Hand Details'!$A$8:$L$219,COLUMN()+1,0),"Not Found"))</f>
        <v/>
      </c>
      <c r="H45" s="7" t="str">
        <f>IF(G45="","",IFERROR(VLOOKUP($A45&amp;$L45,'On Hand Details'!$A$8:$L$219,COLUMN()+1,0),"Not Found"))</f>
        <v/>
      </c>
      <c r="I45" s="7" t="str">
        <f>IF(H45="","",IFERROR(VLOOKUP($A45&amp;$L45,'On Hand Details'!$A$8:$L$219,COLUMN()+1,0),"Not Found"))</f>
        <v/>
      </c>
      <c r="J45" s="7" t="str">
        <f>IF(I45="","",IFERROR(VLOOKUP($A45&amp;$L45,'On Hand Details'!$A$8:$L$219,COLUMN()+1,0),"Not Found"))</f>
        <v/>
      </c>
      <c r="K45" s="7" t="str">
        <f>IF(J45="","",IFERROR(VLOOKUP($A45&amp;$L45,'On Hand Details'!$A$8:$L$219,COLUMN()+1,0),"Not Found"))</f>
        <v/>
      </c>
      <c r="L45" s="7"/>
    </row>
    <row r="46" spans="1:12">
      <c r="A46" s="7"/>
      <c r="B46" s="7" t="str">
        <f>IF(A46="","",IFERROR(VLOOKUP($A46&amp;$L46,'On Hand Details'!$A$8:$L$219,COLUMN()+1,0),"Not Found"))</f>
        <v/>
      </c>
      <c r="C46" s="7" t="str">
        <f>IF(B46="","",IFERROR(VLOOKUP($A46&amp;$L46,'On Hand Details'!$A$8:$L$219,COLUMN()+1,0),"Not Found"))</f>
        <v/>
      </c>
      <c r="D46" s="7" t="str">
        <f>IF(C46="","",IFERROR(VLOOKUP($A46&amp;$L46,'On Hand Details'!$A$8:$L$219,COLUMN()+1,0),"Not Found"))</f>
        <v/>
      </c>
      <c r="E46" s="7" t="str">
        <f>IF(D46="","",IFERROR(VLOOKUP($A46&amp;$L46,'On Hand Details'!$A$8:$L$219,COLUMN()+1,0),"Not Found"))</f>
        <v/>
      </c>
      <c r="F46" s="7" t="str">
        <f>IF(E46="","",IFERROR(VLOOKUP($A46&amp;$L46,'On Hand Details'!$A$8:$L$219,COLUMN()+1,0),"Not Found"))</f>
        <v/>
      </c>
      <c r="G46" s="7" t="str">
        <f>IF(F46="","",IFERROR(VLOOKUP($A46&amp;$L46,'On Hand Details'!$A$8:$L$219,COLUMN()+1,0),"Not Found"))</f>
        <v/>
      </c>
      <c r="H46" s="7" t="str">
        <f>IF(G46="","",IFERROR(VLOOKUP($A46&amp;$L46,'On Hand Details'!$A$8:$L$219,COLUMN()+1,0),"Not Found"))</f>
        <v/>
      </c>
      <c r="I46" s="7" t="str">
        <f>IF(H46="","",IFERROR(VLOOKUP($A46&amp;$L46,'On Hand Details'!$A$8:$L$219,COLUMN()+1,0),"Not Found"))</f>
        <v/>
      </c>
      <c r="J46" s="7" t="str">
        <f>IF(I46="","",IFERROR(VLOOKUP($A46&amp;$L46,'On Hand Details'!$A$8:$L$219,COLUMN()+1,0),"Not Found"))</f>
        <v/>
      </c>
      <c r="K46" s="7" t="str">
        <f>IF(J46="","",IFERROR(VLOOKUP($A46&amp;$L46,'On Hand Details'!$A$8:$L$219,COLUMN()+1,0),"Not Found"))</f>
        <v/>
      </c>
      <c r="L46" s="7"/>
    </row>
    <row r="47" spans="1:12">
      <c r="A47" s="7"/>
      <c r="B47" s="7" t="str">
        <f>IF(A47="","",IFERROR(VLOOKUP($A47&amp;$L47,'On Hand Details'!$A$8:$L$219,COLUMN()+1,0),"Not Found"))</f>
        <v/>
      </c>
      <c r="C47" s="7" t="str">
        <f>IF(B47="","",IFERROR(VLOOKUP($A47&amp;$L47,'On Hand Details'!$A$8:$L$219,COLUMN()+1,0),"Not Found"))</f>
        <v/>
      </c>
      <c r="D47" s="7" t="str">
        <f>IF(C47="","",IFERROR(VLOOKUP($A47&amp;$L47,'On Hand Details'!$A$8:$L$219,COLUMN()+1,0),"Not Found"))</f>
        <v/>
      </c>
      <c r="E47" s="7" t="str">
        <f>IF(D47="","",IFERROR(VLOOKUP($A47&amp;$L47,'On Hand Details'!$A$8:$L$219,COLUMN()+1,0),"Not Found"))</f>
        <v/>
      </c>
      <c r="F47" s="7" t="str">
        <f>IF(E47="","",IFERROR(VLOOKUP($A47&amp;$L47,'On Hand Details'!$A$8:$L$219,COLUMN()+1,0),"Not Found"))</f>
        <v/>
      </c>
      <c r="G47" s="7" t="str">
        <f>IF(F47="","",IFERROR(VLOOKUP($A47&amp;$L47,'On Hand Details'!$A$8:$L$219,COLUMN()+1,0),"Not Found"))</f>
        <v/>
      </c>
      <c r="H47" s="7" t="str">
        <f>IF(G47="","",IFERROR(VLOOKUP($A47&amp;$L47,'On Hand Details'!$A$8:$L$219,COLUMN()+1,0),"Not Found"))</f>
        <v/>
      </c>
      <c r="I47" s="7" t="str">
        <f>IF(H47="","",IFERROR(VLOOKUP($A47&amp;$L47,'On Hand Details'!$A$8:$L$219,COLUMN()+1,0),"Not Found"))</f>
        <v/>
      </c>
      <c r="J47" s="7" t="str">
        <f>IF(I47="","",IFERROR(VLOOKUP($A47&amp;$L47,'On Hand Details'!$A$8:$L$219,COLUMN()+1,0),"Not Found"))</f>
        <v/>
      </c>
      <c r="K47" s="7" t="str">
        <f>IF(J47="","",IFERROR(VLOOKUP($A47&amp;$L47,'On Hand Details'!$A$8:$L$219,COLUMN()+1,0),"Not Found"))</f>
        <v/>
      </c>
      <c r="L47" s="7"/>
    </row>
    <row r="48" spans="1:12">
      <c r="A48" s="7"/>
      <c r="B48" s="7" t="str">
        <f>IF(A48="","",IFERROR(VLOOKUP($A48&amp;$L48,'On Hand Details'!$A$8:$L$219,COLUMN()+1,0),"Not Found"))</f>
        <v/>
      </c>
      <c r="C48" s="7" t="str">
        <f>IF(B48="","",IFERROR(VLOOKUP($A48&amp;$L48,'On Hand Details'!$A$8:$L$219,COLUMN()+1,0),"Not Found"))</f>
        <v/>
      </c>
      <c r="D48" s="7" t="str">
        <f>IF(C48="","",IFERROR(VLOOKUP($A48&amp;$L48,'On Hand Details'!$A$8:$L$219,COLUMN()+1,0),"Not Found"))</f>
        <v/>
      </c>
      <c r="E48" s="7" t="str">
        <f>IF(D48="","",IFERROR(VLOOKUP($A48&amp;$L48,'On Hand Details'!$A$8:$L$219,COLUMN()+1,0),"Not Found"))</f>
        <v/>
      </c>
      <c r="F48" s="7" t="str">
        <f>IF(E48="","",IFERROR(VLOOKUP($A48&amp;$L48,'On Hand Details'!$A$8:$L$219,COLUMN()+1,0),"Not Found"))</f>
        <v/>
      </c>
      <c r="G48" s="7" t="str">
        <f>IF(F48="","",IFERROR(VLOOKUP($A48&amp;$L48,'On Hand Details'!$A$8:$L$219,COLUMN()+1,0),"Not Found"))</f>
        <v/>
      </c>
      <c r="H48" s="7" t="str">
        <f>IF(G48="","",IFERROR(VLOOKUP($A48&amp;$L48,'On Hand Details'!$A$8:$L$219,COLUMN()+1,0),"Not Found"))</f>
        <v/>
      </c>
      <c r="I48" s="7" t="str">
        <f>IF(H48="","",IFERROR(VLOOKUP($A48&amp;$L48,'On Hand Details'!$A$8:$L$219,COLUMN()+1,0),"Not Found"))</f>
        <v/>
      </c>
      <c r="J48" s="7" t="str">
        <f>IF(I48="","",IFERROR(VLOOKUP($A48&amp;$L48,'On Hand Details'!$A$8:$L$219,COLUMN()+1,0),"Not Found"))</f>
        <v/>
      </c>
      <c r="K48" s="7" t="str">
        <f>IF(J48="","",IFERROR(VLOOKUP($A48&amp;$L48,'On Hand Details'!$A$8:$L$219,COLUMN()+1,0),"Not Found"))</f>
        <v/>
      </c>
      <c r="L48" s="7"/>
    </row>
    <row r="49" spans="1:12">
      <c r="A49" s="7"/>
      <c r="B49" s="7" t="str">
        <f>IF(A49="","",IFERROR(VLOOKUP($A49&amp;$L49,'On Hand Details'!$A$8:$L$219,COLUMN()+1,0),"Not Found"))</f>
        <v/>
      </c>
      <c r="C49" s="7" t="str">
        <f>IF(B49="","",IFERROR(VLOOKUP($A49&amp;$L49,'On Hand Details'!$A$8:$L$219,COLUMN()+1,0),"Not Found"))</f>
        <v/>
      </c>
      <c r="D49" s="7" t="str">
        <f>IF(C49="","",IFERROR(VLOOKUP($A49&amp;$L49,'On Hand Details'!$A$8:$L$219,COLUMN()+1,0),"Not Found"))</f>
        <v/>
      </c>
      <c r="E49" s="7" t="str">
        <f>IF(D49="","",IFERROR(VLOOKUP($A49&amp;$L49,'On Hand Details'!$A$8:$L$219,COLUMN()+1,0),"Not Found"))</f>
        <v/>
      </c>
      <c r="F49" s="7" t="str">
        <f>IF(E49="","",IFERROR(VLOOKUP($A49&amp;$L49,'On Hand Details'!$A$8:$L$219,COLUMN()+1,0),"Not Found"))</f>
        <v/>
      </c>
      <c r="G49" s="7" t="str">
        <f>IF(F49="","",IFERROR(VLOOKUP($A49&amp;$L49,'On Hand Details'!$A$8:$L$219,COLUMN()+1,0),"Not Found"))</f>
        <v/>
      </c>
      <c r="H49" s="7" t="str">
        <f>IF(G49="","",IFERROR(VLOOKUP($A49&amp;$L49,'On Hand Details'!$A$8:$L$219,COLUMN()+1,0),"Not Found"))</f>
        <v/>
      </c>
      <c r="I49" s="7" t="str">
        <f>IF(H49="","",IFERROR(VLOOKUP($A49&amp;$L49,'On Hand Details'!$A$8:$L$219,COLUMN()+1,0),"Not Found"))</f>
        <v/>
      </c>
      <c r="J49" s="7" t="str">
        <f>IF(I49="","",IFERROR(VLOOKUP($A49&amp;$L49,'On Hand Details'!$A$8:$L$219,COLUMN()+1,0),"Not Found"))</f>
        <v/>
      </c>
      <c r="K49" s="7" t="str">
        <f>IF(J49="","",IFERROR(VLOOKUP($A49&amp;$L49,'On Hand Details'!$A$8:$L$219,COLUMN()+1,0),"Not Found"))</f>
        <v/>
      </c>
      <c r="L49" s="7"/>
    </row>
    <row r="50" spans="1:12">
      <c r="A50" s="7"/>
      <c r="B50" s="7" t="str">
        <f>IF(A50="","",IFERROR(VLOOKUP($A50&amp;$L50,'On Hand Details'!$A$8:$L$219,COLUMN()+1,0),"Not Found"))</f>
        <v/>
      </c>
      <c r="C50" s="7" t="str">
        <f>IF(B50="","",IFERROR(VLOOKUP($A50&amp;$L50,'On Hand Details'!$A$8:$L$219,COLUMN()+1,0),"Not Found"))</f>
        <v/>
      </c>
      <c r="D50" s="7" t="str">
        <f>IF(C50="","",IFERROR(VLOOKUP($A50&amp;$L50,'On Hand Details'!$A$8:$L$219,COLUMN()+1,0),"Not Found"))</f>
        <v/>
      </c>
      <c r="E50" s="7" t="str">
        <f>IF(D50="","",IFERROR(VLOOKUP($A50&amp;$L50,'On Hand Details'!$A$8:$L$219,COLUMN()+1,0),"Not Found"))</f>
        <v/>
      </c>
      <c r="F50" s="7" t="str">
        <f>IF(E50="","",IFERROR(VLOOKUP($A50&amp;$L50,'On Hand Details'!$A$8:$L$219,COLUMN()+1,0),"Not Found"))</f>
        <v/>
      </c>
      <c r="G50" s="7" t="str">
        <f>IF(F50="","",IFERROR(VLOOKUP($A50&amp;$L50,'On Hand Details'!$A$8:$L$219,COLUMN()+1,0),"Not Found"))</f>
        <v/>
      </c>
      <c r="H50" s="7" t="str">
        <f>IF(G50="","",IFERROR(VLOOKUP($A50&amp;$L50,'On Hand Details'!$A$8:$L$219,COLUMN()+1,0),"Not Found"))</f>
        <v/>
      </c>
      <c r="I50" s="7" t="str">
        <f>IF(H50="","",IFERROR(VLOOKUP($A50&amp;$L50,'On Hand Details'!$A$8:$L$219,COLUMN()+1,0),"Not Found"))</f>
        <v/>
      </c>
      <c r="J50" s="7" t="str">
        <f>IF(I50="","",IFERROR(VLOOKUP($A50&amp;$L50,'On Hand Details'!$A$8:$L$219,COLUMN()+1,0),"Not Found"))</f>
        <v/>
      </c>
      <c r="K50" s="7" t="str">
        <f>IF(J50="","",IFERROR(VLOOKUP($A50&amp;$L50,'On Hand Details'!$A$8:$L$219,COLUMN()+1,0),"Not Found"))</f>
        <v/>
      </c>
      <c r="L50" s="7"/>
    </row>
    <row r="51" spans="1:12">
      <c r="A51" s="7"/>
      <c r="B51" s="7" t="str">
        <f>IF(A51="","",IFERROR(VLOOKUP($A51&amp;$L51,'On Hand Details'!$A$8:$L$219,COLUMN()+1,0),"Not Found"))</f>
        <v/>
      </c>
      <c r="C51" s="7" t="str">
        <f>IF(B51="","",IFERROR(VLOOKUP($A51&amp;$L51,'On Hand Details'!$A$8:$L$219,COLUMN()+1,0),"Not Found"))</f>
        <v/>
      </c>
      <c r="D51" s="7" t="str">
        <f>IF(C51="","",IFERROR(VLOOKUP($A51&amp;$L51,'On Hand Details'!$A$8:$L$219,COLUMN()+1,0),"Not Found"))</f>
        <v/>
      </c>
      <c r="E51" s="7" t="str">
        <f>IF(D51="","",IFERROR(VLOOKUP($A51&amp;$L51,'On Hand Details'!$A$8:$L$219,COLUMN()+1,0),"Not Found"))</f>
        <v/>
      </c>
      <c r="F51" s="7" t="str">
        <f>IF(E51="","",IFERROR(VLOOKUP($A51&amp;$L51,'On Hand Details'!$A$8:$L$219,COLUMN()+1,0),"Not Found"))</f>
        <v/>
      </c>
      <c r="G51" s="7" t="str">
        <f>IF(F51="","",IFERROR(VLOOKUP($A51&amp;$L51,'On Hand Details'!$A$8:$L$219,COLUMN()+1,0),"Not Found"))</f>
        <v/>
      </c>
      <c r="H51" s="7" t="str">
        <f>IF(G51="","",IFERROR(VLOOKUP($A51&amp;$L51,'On Hand Details'!$A$8:$L$219,COLUMN()+1,0),"Not Found"))</f>
        <v/>
      </c>
      <c r="I51" s="7" t="str">
        <f>IF(H51="","",IFERROR(VLOOKUP($A51&amp;$L51,'On Hand Details'!$A$8:$L$219,COLUMN()+1,0),"Not Found"))</f>
        <v/>
      </c>
      <c r="J51" s="7" t="str">
        <f>IF(I51="","",IFERROR(VLOOKUP($A51&amp;$L51,'On Hand Details'!$A$8:$L$219,COLUMN()+1,0),"Not Found"))</f>
        <v/>
      </c>
      <c r="K51" s="7" t="str">
        <f>IF(J51="","",IFERROR(VLOOKUP($A51&amp;$L51,'On Hand Details'!$A$8:$L$219,COLUMN()+1,0),"Not Found"))</f>
        <v/>
      </c>
      <c r="L51" s="7"/>
    </row>
    <row r="52" spans="1:12">
      <c r="A52" s="7"/>
      <c r="B52" s="7" t="str">
        <f>IF(A52="","",IFERROR(VLOOKUP($A52&amp;$L52,'On Hand Details'!$A$8:$L$219,COLUMN()+1,0),"Not Found"))</f>
        <v/>
      </c>
      <c r="C52" s="7" t="str">
        <f>IF(B52="","",IFERROR(VLOOKUP($A52&amp;$L52,'On Hand Details'!$A$8:$L$219,COLUMN()+1,0),"Not Found"))</f>
        <v/>
      </c>
      <c r="D52" s="7" t="str">
        <f>IF(C52="","",IFERROR(VLOOKUP($A52&amp;$L52,'On Hand Details'!$A$8:$L$219,COLUMN()+1,0),"Not Found"))</f>
        <v/>
      </c>
      <c r="E52" s="7" t="str">
        <f>IF(D52="","",IFERROR(VLOOKUP($A52&amp;$L52,'On Hand Details'!$A$8:$L$219,COLUMN()+1,0),"Not Found"))</f>
        <v/>
      </c>
      <c r="F52" s="7" t="str">
        <f>IF(E52="","",IFERROR(VLOOKUP($A52&amp;$L52,'On Hand Details'!$A$8:$L$219,COLUMN()+1,0),"Not Found"))</f>
        <v/>
      </c>
      <c r="G52" s="7" t="str">
        <f>IF(F52="","",IFERROR(VLOOKUP($A52&amp;$L52,'On Hand Details'!$A$8:$L$219,COLUMN()+1,0),"Not Found"))</f>
        <v/>
      </c>
      <c r="H52" s="7" t="str">
        <f>IF(G52="","",IFERROR(VLOOKUP($A52&amp;$L52,'On Hand Details'!$A$8:$L$219,COLUMN()+1,0),"Not Found"))</f>
        <v/>
      </c>
      <c r="I52" s="7" t="str">
        <f>IF(H52="","",IFERROR(VLOOKUP($A52&amp;$L52,'On Hand Details'!$A$8:$L$219,COLUMN()+1,0),"Not Found"))</f>
        <v/>
      </c>
      <c r="J52" s="7" t="str">
        <f>IF(I52="","",IFERROR(VLOOKUP($A52&amp;$L52,'On Hand Details'!$A$8:$L$219,COLUMN()+1,0),"Not Found"))</f>
        <v/>
      </c>
      <c r="K52" s="7" t="str">
        <f>IF(J52="","",IFERROR(VLOOKUP($A52&amp;$L52,'On Hand Details'!$A$8:$L$219,COLUMN()+1,0),"Not Found"))</f>
        <v/>
      </c>
      <c r="L52" s="7"/>
    </row>
    <row r="53" spans="1:12">
      <c r="A53" s="7"/>
      <c r="B53" s="7" t="str">
        <f>IF(A53="","",IFERROR(VLOOKUP($A53&amp;$L53,'On Hand Details'!$A$8:$L$219,COLUMN()+1,0),"Not Found"))</f>
        <v/>
      </c>
      <c r="C53" s="7" t="str">
        <f>IF(B53="","",IFERROR(VLOOKUP($A53&amp;$L53,'On Hand Details'!$A$8:$L$219,COLUMN()+1,0),"Not Found"))</f>
        <v/>
      </c>
      <c r="D53" s="7" t="str">
        <f>IF(C53="","",IFERROR(VLOOKUP($A53&amp;$L53,'On Hand Details'!$A$8:$L$219,COLUMN()+1,0),"Not Found"))</f>
        <v/>
      </c>
      <c r="E53" s="7" t="str">
        <f>IF(D53="","",IFERROR(VLOOKUP($A53&amp;$L53,'On Hand Details'!$A$8:$L$219,COLUMN()+1,0),"Not Found"))</f>
        <v/>
      </c>
      <c r="F53" s="7" t="str">
        <f>IF(E53="","",IFERROR(VLOOKUP($A53&amp;$L53,'On Hand Details'!$A$8:$L$219,COLUMN()+1,0),"Not Found"))</f>
        <v/>
      </c>
      <c r="G53" s="7" t="str">
        <f>IF(F53="","",IFERROR(VLOOKUP($A53&amp;$L53,'On Hand Details'!$A$8:$L$219,COLUMN()+1,0),"Not Found"))</f>
        <v/>
      </c>
      <c r="H53" s="7" t="str">
        <f>IF(G53="","",IFERROR(VLOOKUP($A53&amp;$L53,'On Hand Details'!$A$8:$L$219,COLUMN()+1,0),"Not Found"))</f>
        <v/>
      </c>
      <c r="I53" s="7" t="str">
        <f>IF(H53="","",IFERROR(VLOOKUP($A53&amp;$L53,'On Hand Details'!$A$8:$L$219,COLUMN()+1,0),"Not Found"))</f>
        <v/>
      </c>
      <c r="J53" s="7" t="str">
        <f>IF(I53="","",IFERROR(VLOOKUP($A53&amp;$L53,'On Hand Details'!$A$8:$L$219,COLUMN()+1,0),"Not Found"))</f>
        <v/>
      </c>
      <c r="K53" s="7" t="str">
        <f>IF(J53="","",IFERROR(VLOOKUP($A53&amp;$L53,'On Hand Details'!$A$8:$L$219,COLUMN()+1,0),"Not Found"))</f>
        <v/>
      </c>
      <c r="L53" s="7"/>
    </row>
    <row r="54" spans="1:12">
      <c r="A54" s="7"/>
      <c r="B54" s="7" t="str">
        <f>IF(A54="","",IFERROR(VLOOKUP($A54&amp;$L54,'On Hand Details'!$A$8:$L$219,COLUMN()+1,0),"Not Found"))</f>
        <v/>
      </c>
      <c r="C54" s="7" t="str">
        <f>IF(B54="","",IFERROR(VLOOKUP($A54&amp;$L54,'On Hand Details'!$A$8:$L$219,COLUMN()+1,0),"Not Found"))</f>
        <v/>
      </c>
      <c r="D54" s="7" t="str">
        <f>IF(C54="","",IFERROR(VLOOKUP($A54&amp;$L54,'On Hand Details'!$A$8:$L$219,COLUMN()+1,0),"Not Found"))</f>
        <v/>
      </c>
      <c r="E54" s="7" t="str">
        <f>IF(D54="","",IFERROR(VLOOKUP($A54&amp;$L54,'On Hand Details'!$A$8:$L$219,COLUMN()+1,0),"Not Found"))</f>
        <v/>
      </c>
      <c r="F54" s="7" t="str">
        <f>IF(E54="","",IFERROR(VLOOKUP($A54&amp;$L54,'On Hand Details'!$A$8:$L$219,COLUMN()+1,0),"Not Found"))</f>
        <v/>
      </c>
      <c r="G54" s="7" t="str">
        <f>IF(F54="","",IFERROR(VLOOKUP($A54&amp;$L54,'On Hand Details'!$A$8:$L$219,COLUMN()+1,0),"Not Found"))</f>
        <v/>
      </c>
      <c r="H54" s="7" t="str">
        <f>IF(G54="","",IFERROR(VLOOKUP($A54&amp;$L54,'On Hand Details'!$A$8:$L$219,COLUMN()+1,0),"Not Found"))</f>
        <v/>
      </c>
      <c r="I54" s="7" t="str">
        <f>IF(H54="","",IFERROR(VLOOKUP($A54&amp;$L54,'On Hand Details'!$A$8:$L$219,COLUMN()+1,0),"Not Found"))</f>
        <v/>
      </c>
      <c r="J54" s="7" t="str">
        <f>IF(I54="","",IFERROR(VLOOKUP($A54&amp;$L54,'On Hand Details'!$A$8:$L$219,COLUMN()+1,0),"Not Found"))</f>
        <v/>
      </c>
      <c r="K54" s="7" t="str">
        <f>IF(J54="","",IFERROR(VLOOKUP($A54&amp;$L54,'On Hand Details'!$A$8:$L$219,COLUMN()+1,0),"Not Found"))</f>
        <v/>
      </c>
      <c r="L54" s="7"/>
    </row>
    <row r="55" spans="1:12">
      <c r="A55" s="7"/>
      <c r="B55" s="7" t="str">
        <f>IF(A55="","",IFERROR(VLOOKUP($A55&amp;$L55,'On Hand Details'!$A$8:$L$219,COLUMN()+1,0),"Not Found"))</f>
        <v/>
      </c>
      <c r="C55" s="7" t="str">
        <f>IF(B55="","",IFERROR(VLOOKUP($A55&amp;$L55,'On Hand Details'!$A$8:$L$219,COLUMN()+1,0),"Not Found"))</f>
        <v/>
      </c>
      <c r="D55" s="7" t="str">
        <f>IF(C55="","",IFERROR(VLOOKUP($A55&amp;$L55,'On Hand Details'!$A$8:$L$219,COLUMN()+1,0),"Not Found"))</f>
        <v/>
      </c>
      <c r="E55" s="7" t="str">
        <f>IF(D55="","",IFERROR(VLOOKUP($A55&amp;$L55,'On Hand Details'!$A$8:$L$219,COLUMN()+1,0),"Not Found"))</f>
        <v/>
      </c>
      <c r="F55" s="7" t="str">
        <f>IF(E55="","",IFERROR(VLOOKUP($A55&amp;$L55,'On Hand Details'!$A$8:$L$219,COLUMN()+1,0),"Not Found"))</f>
        <v/>
      </c>
      <c r="G55" s="7" t="str">
        <f>IF(F55="","",IFERROR(VLOOKUP($A55&amp;$L55,'On Hand Details'!$A$8:$L$219,COLUMN()+1,0),"Not Found"))</f>
        <v/>
      </c>
      <c r="H55" s="7" t="str">
        <f>IF(G55="","",IFERROR(VLOOKUP($A55&amp;$L55,'On Hand Details'!$A$8:$L$219,COLUMN()+1,0),"Not Found"))</f>
        <v/>
      </c>
      <c r="I55" s="7" t="str">
        <f>IF(H55="","",IFERROR(VLOOKUP($A55&amp;$L55,'On Hand Details'!$A$8:$L$219,COLUMN()+1,0),"Not Found"))</f>
        <v/>
      </c>
      <c r="J55" s="7" t="str">
        <f>IF(I55="","",IFERROR(VLOOKUP($A55&amp;$L55,'On Hand Details'!$A$8:$L$219,COLUMN()+1,0),"Not Found"))</f>
        <v/>
      </c>
      <c r="K55" s="7" t="str">
        <f>IF(J55="","",IFERROR(VLOOKUP($A55&amp;$L55,'On Hand Details'!$A$8:$L$219,COLUMN()+1,0),"Not Found"))</f>
        <v/>
      </c>
      <c r="L55" s="7"/>
    </row>
    <row r="56" spans="1:12">
      <c r="A56" s="7"/>
      <c r="B56" s="7" t="str">
        <f>IF(A56="","",IFERROR(VLOOKUP($A56&amp;$L56,'On Hand Details'!$A$8:$L$219,COLUMN()+1,0),"Not Found"))</f>
        <v/>
      </c>
      <c r="C56" s="7" t="str">
        <f>IF(B56="","",IFERROR(VLOOKUP($A56&amp;$L56,'On Hand Details'!$A$8:$L$219,COLUMN()+1,0),"Not Found"))</f>
        <v/>
      </c>
      <c r="D56" s="7" t="str">
        <f>IF(C56="","",IFERROR(VLOOKUP($A56&amp;$L56,'On Hand Details'!$A$8:$L$219,COLUMN()+1,0),"Not Found"))</f>
        <v/>
      </c>
      <c r="E56" s="7" t="str">
        <f>IF(D56="","",IFERROR(VLOOKUP($A56&amp;$L56,'On Hand Details'!$A$8:$L$219,COLUMN()+1,0),"Not Found"))</f>
        <v/>
      </c>
      <c r="F56" s="7" t="str">
        <f>IF(E56="","",IFERROR(VLOOKUP($A56&amp;$L56,'On Hand Details'!$A$8:$L$219,COLUMN()+1,0),"Not Found"))</f>
        <v/>
      </c>
      <c r="G56" s="7" t="str">
        <f>IF(F56="","",IFERROR(VLOOKUP($A56&amp;$L56,'On Hand Details'!$A$8:$L$219,COLUMN()+1,0),"Not Found"))</f>
        <v/>
      </c>
      <c r="H56" s="7" t="str">
        <f>IF(G56="","",IFERROR(VLOOKUP($A56&amp;$L56,'On Hand Details'!$A$8:$L$219,COLUMN()+1,0),"Not Found"))</f>
        <v/>
      </c>
      <c r="I56" s="7" t="str">
        <f>IF(H56="","",IFERROR(VLOOKUP($A56&amp;$L56,'On Hand Details'!$A$8:$L$219,COLUMN()+1,0),"Not Found"))</f>
        <v/>
      </c>
      <c r="J56" s="7" t="str">
        <f>IF(I56="","",IFERROR(VLOOKUP($A56&amp;$L56,'On Hand Details'!$A$8:$L$219,COLUMN()+1,0),"Not Found"))</f>
        <v/>
      </c>
      <c r="K56" s="7" t="str">
        <f>IF(J56="","",IFERROR(VLOOKUP($A56&amp;$L56,'On Hand Details'!$A$8:$L$219,COLUMN()+1,0),"Not Found"))</f>
        <v/>
      </c>
      <c r="L56" s="7"/>
    </row>
    <row r="57" spans="1:12">
      <c r="A57" s="7"/>
      <c r="B57" s="7" t="str">
        <f>IF(A57="","",IFERROR(VLOOKUP($A57&amp;$L57,'On Hand Details'!$A$8:$L$219,COLUMN()+1,0),"Not Found"))</f>
        <v/>
      </c>
      <c r="C57" s="7" t="str">
        <f>IF(B57="","",IFERROR(VLOOKUP($A57&amp;$L57,'On Hand Details'!$A$8:$L$219,COLUMN()+1,0),"Not Found"))</f>
        <v/>
      </c>
      <c r="D57" s="7" t="str">
        <f>IF(C57="","",IFERROR(VLOOKUP($A57&amp;$L57,'On Hand Details'!$A$8:$L$219,COLUMN()+1,0),"Not Found"))</f>
        <v/>
      </c>
      <c r="E57" s="7" t="str">
        <f>IF(D57="","",IFERROR(VLOOKUP($A57&amp;$L57,'On Hand Details'!$A$8:$L$219,COLUMN()+1,0),"Not Found"))</f>
        <v/>
      </c>
      <c r="F57" s="7" t="str">
        <f>IF(E57="","",IFERROR(VLOOKUP($A57&amp;$L57,'On Hand Details'!$A$8:$L$219,COLUMN()+1,0),"Not Found"))</f>
        <v/>
      </c>
      <c r="G57" s="7" t="str">
        <f>IF(F57="","",IFERROR(VLOOKUP($A57&amp;$L57,'On Hand Details'!$A$8:$L$219,COLUMN()+1,0),"Not Found"))</f>
        <v/>
      </c>
      <c r="H57" s="7" t="str">
        <f>IF(G57="","",IFERROR(VLOOKUP($A57&amp;$L57,'On Hand Details'!$A$8:$L$219,COLUMN()+1,0),"Not Found"))</f>
        <v/>
      </c>
      <c r="I57" s="7" t="str">
        <f>IF(H57="","",IFERROR(VLOOKUP($A57&amp;$L57,'On Hand Details'!$A$8:$L$219,COLUMN()+1,0),"Not Found"))</f>
        <v/>
      </c>
      <c r="J57" s="7" t="str">
        <f>IF(I57="","",IFERROR(VLOOKUP($A57&amp;$L57,'On Hand Details'!$A$8:$L$219,COLUMN()+1,0),"Not Found"))</f>
        <v/>
      </c>
      <c r="K57" s="7" t="str">
        <f>IF(J57="","",IFERROR(VLOOKUP($A57&amp;$L57,'On Hand Details'!$A$8:$L$219,COLUMN()+1,0),"Not Found"))</f>
        <v/>
      </c>
      <c r="L57" s="7"/>
    </row>
    <row r="58" spans="1:12">
      <c r="A58" s="7"/>
      <c r="B58" s="7" t="str">
        <f>IF(A58="","",IFERROR(VLOOKUP($A58&amp;$L58,'On Hand Details'!$A$8:$L$219,COLUMN()+1,0),"Not Found"))</f>
        <v/>
      </c>
      <c r="C58" s="7" t="str">
        <f>IF(B58="","",IFERROR(VLOOKUP($A58&amp;$L58,'On Hand Details'!$A$8:$L$219,COLUMN()+1,0),"Not Found"))</f>
        <v/>
      </c>
      <c r="D58" s="7" t="str">
        <f>IF(C58="","",IFERROR(VLOOKUP($A58&amp;$L58,'On Hand Details'!$A$8:$L$219,COLUMN()+1,0),"Not Found"))</f>
        <v/>
      </c>
      <c r="E58" s="7" t="str">
        <f>IF(D58="","",IFERROR(VLOOKUP($A58&amp;$L58,'On Hand Details'!$A$8:$L$219,COLUMN()+1,0),"Not Found"))</f>
        <v/>
      </c>
      <c r="F58" s="7" t="str">
        <f>IF(E58="","",IFERROR(VLOOKUP($A58&amp;$L58,'On Hand Details'!$A$8:$L$219,COLUMN()+1,0),"Not Found"))</f>
        <v/>
      </c>
      <c r="G58" s="7" t="str">
        <f>IF(F58="","",IFERROR(VLOOKUP($A58&amp;$L58,'On Hand Details'!$A$8:$L$219,COLUMN()+1,0),"Not Found"))</f>
        <v/>
      </c>
      <c r="H58" s="7" t="str">
        <f>IF(G58="","",IFERROR(VLOOKUP($A58&amp;$L58,'On Hand Details'!$A$8:$L$219,COLUMN()+1,0),"Not Found"))</f>
        <v/>
      </c>
      <c r="I58" s="7" t="str">
        <f>IF(H58="","",IFERROR(VLOOKUP($A58&amp;$L58,'On Hand Details'!$A$8:$L$219,COLUMN()+1,0),"Not Found"))</f>
        <v/>
      </c>
      <c r="J58" s="7" t="str">
        <f>IF(I58="","",IFERROR(VLOOKUP($A58&amp;$L58,'On Hand Details'!$A$8:$L$219,COLUMN()+1,0),"Not Found"))</f>
        <v/>
      </c>
      <c r="K58" s="7" t="str">
        <f>IF(J58="","",IFERROR(VLOOKUP($A58&amp;$L58,'On Hand Details'!$A$8:$L$219,COLUMN()+1,0),"Not Found"))</f>
        <v/>
      </c>
      <c r="L58" s="7"/>
    </row>
    <row r="59" spans="1:12">
      <c r="A59" s="7"/>
      <c r="B59" s="7" t="str">
        <f>IF(A59="","",IFERROR(VLOOKUP($A59&amp;$L59,'On Hand Details'!$A$8:$L$219,COLUMN()+1,0),"Not Found"))</f>
        <v/>
      </c>
      <c r="C59" s="7" t="str">
        <f>IF(B59="","",IFERROR(VLOOKUP($A59&amp;$L59,'On Hand Details'!$A$8:$L$219,COLUMN()+1,0),"Not Found"))</f>
        <v/>
      </c>
      <c r="D59" s="7" t="str">
        <f>IF(C59="","",IFERROR(VLOOKUP($A59&amp;$L59,'On Hand Details'!$A$8:$L$219,COLUMN()+1,0),"Not Found"))</f>
        <v/>
      </c>
      <c r="E59" s="7" t="str">
        <f>IF(D59="","",IFERROR(VLOOKUP($A59&amp;$L59,'On Hand Details'!$A$8:$L$219,COLUMN()+1,0),"Not Found"))</f>
        <v/>
      </c>
      <c r="F59" s="7" t="str">
        <f>IF(E59="","",IFERROR(VLOOKUP($A59&amp;$L59,'On Hand Details'!$A$8:$L$219,COLUMN()+1,0),"Not Found"))</f>
        <v/>
      </c>
      <c r="G59" s="7" t="str">
        <f>IF(F59="","",IFERROR(VLOOKUP($A59&amp;$L59,'On Hand Details'!$A$8:$L$219,COLUMN()+1,0),"Not Found"))</f>
        <v/>
      </c>
      <c r="H59" s="7" t="str">
        <f>IF(G59="","",IFERROR(VLOOKUP($A59&amp;$L59,'On Hand Details'!$A$8:$L$219,COLUMN()+1,0),"Not Found"))</f>
        <v/>
      </c>
      <c r="I59" s="7" t="str">
        <f>IF(H59="","",IFERROR(VLOOKUP($A59&amp;$L59,'On Hand Details'!$A$8:$L$219,COLUMN()+1,0),"Not Found"))</f>
        <v/>
      </c>
      <c r="J59" s="7" t="str">
        <f>IF(I59="","",IFERROR(VLOOKUP($A59&amp;$L59,'On Hand Details'!$A$8:$L$219,COLUMN()+1,0),"Not Found"))</f>
        <v/>
      </c>
      <c r="K59" s="7" t="str">
        <f>IF(J59="","",IFERROR(VLOOKUP($A59&amp;$L59,'On Hand Details'!$A$8:$L$219,COLUMN()+1,0),"Not Found"))</f>
        <v/>
      </c>
      <c r="L59" s="7"/>
    </row>
    <row r="60" spans="1:12">
      <c r="A60" s="7"/>
      <c r="B60" s="7" t="str">
        <f>IF(A60="","",IFERROR(VLOOKUP($A60&amp;$L60,'On Hand Details'!$A$8:$L$219,COLUMN()+1,0),"Not Found"))</f>
        <v/>
      </c>
      <c r="C60" s="7" t="str">
        <f>IF(B60="","",IFERROR(VLOOKUP($A60&amp;$L60,'On Hand Details'!$A$8:$L$219,COLUMN()+1,0),"Not Found"))</f>
        <v/>
      </c>
      <c r="D60" s="7" t="str">
        <f>IF(C60="","",IFERROR(VLOOKUP($A60&amp;$L60,'On Hand Details'!$A$8:$L$219,COLUMN()+1,0),"Not Found"))</f>
        <v/>
      </c>
      <c r="E60" s="7" t="str">
        <f>IF(D60="","",IFERROR(VLOOKUP($A60&amp;$L60,'On Hand Details'!$A$8:$L$219,COLUMN()+1,0),"Not Found"))</f>
        <v/>
      </c>
      <c r="F60" s="7" t="str">
        <f>IF(E60="","",IFERROR(VLOOKUP($A60&amp;$L60,'On Hand Details'!$A$8:$L$219,COLUMN()+1,0),"Not Found"))</f>
        <v/>
      </c>
      <c r="G60" s="7" t="str">
        <f>IF(F60="","",IFERROR(VLOOKUP($A60&amp;$L60,'On Hand Details'!$A$8:$L$219,COLUMN()+1,0),"Not Found"))</f>
        <v/>
      </c>
      <c r="H60" s="7" t="str">
        <f>IF(G60="","",IFERROR(VLOOKUP($A60&amp;$L60,'On Hand Details'!$A$8:$L$219,COLUMN()+1,0),"Not Found"))</f>
        <v/>
      </c>
      <c r="I60" s="7" t="str">
        <f>IF(H60="","",IFERROR(VLOOKUP($A60&amp;$L60,'On Hand Details'!$A$8:$L$219,COLUMN()+1,0),"Not Found"))</f>
        <v/>
      </c>
      <c r="J60" s="7" t="str">
        <f>IF(I60="","",IFERROR(VLOOKUP($A60&amp;$L60,'On Hand Details'!$A$8:$L$219,COLUMN()+1,0),"Not Found"))</f>
        <v/>
      </c>
      <c r="K60" s="7" t="str">
        <f>IF(J60="","",IFERROR(VLOOKUP($A60&amp;$L60,'On Hand Details'!$A$8:$L$219,COLUMN()+1,0),"Not Found"))</f>
        <v/>
      </c>
      <c r="L60" s="7"/>
    </row>
    <row r="61" spans="1:12">
      <c r="A61" s="7"/>
      <c r="B61" s="7" t="str">
        <f>IF(A61="","",IFERROR(VLOOKUP($A61&amp;$L61,'On Hand Details'!$A$8:$L$219,COLUMN()+1,0),"Not Found"))</f>
        <v/>
      </c>
      <c r="C61" s="7" t="str">
        <f>IF(B61="","",IFERROR(VLOOKUP($A61&amp;$L61,'On Hand Details'!$A$8:$L$219,COLUMN()+1,0),"Not Found"))</f>
        <v/>
      </c>
      <c r="D61" s="7" t="str">
        <f>IF(C61="","",IFERROR(VLOOKUP($A61&amp;$L61,'On Hand Details'!$A$8:$L$219,COLUMN()+1,0),"Not Found"))</f>
        <v/>
      </c>
      <c r="E61" s="7" t="str">
        <f>IF(D61="","",IFERROR(VLOOKUP($A61&amp;$L61,'On Hand Details'!$A$8:$L$219,COLUMN()+1,0),"Not Found"))</f>
        <v/>
      </c>
      <c r="F61" s="7" t="str">
        <f>IF(E61="","",IFERROR(VLOOKUP($A61&amp;$L61,'On Hand Details'!$A$8:$L$219,COLUMN()+1,0),"Not Found"))</f>
        <v/>
      </c>
      <c r="G61" s="7" t="str">
        <f>IF(F61="","",IFERROR(VLOOKUP($A61&amp;$L61,'On Hand Details'!$A$8:$L$219,COLUMN()+1,0),"Not Found"))</f>
        <v/>
      </c>
      <c r="H61" s="7" t="str">
        <f>IF(G61="","",IFERROR(VLOOKUP($A61&amp;$L61,'On Hand Details'!$A$8:$L$219,COLUMN()+1,0),"Not Found"))</f>
        <v/>
      </c>
      <c r="I61" s="7" t="str">
        <f>IF(H61="","",IFERROR(VLOOKUP($A61&amp;$L61,'On Hand Details'!$A$8:$L$219,COLUMN()+1,0),"Not Found"))</f>
        <v/>
      </c>
      <c r="J61" s="7" t="str">
        <f>IF(I61="","",IFERROR(VLOOKUP($A61&amp;$L61,'On Hand Details'!$A$8:$L$219,COLUMN()+1,0),"Not Found"))</f>
        <v/>
      </c>
      <c r="K61" s="7" t="str">
        <f>IF(J61="","",IFERROR(VLOOKUP($A61&amp;$L61,'On Hand Details'!$A$8:$L$219,COLUMN()+1,0),"Not Found"))</f>
        <v/>
      </c>
      <c r="L61" s="7"/>
    </row>
    <row r="62" spans="1:12">
      <c r="A62" s="7"/>
      <c r="B62" s="7" t="str">
        <f>IF(A62="","",IFERROR(VLOOKUP($A62&amp;$L62,'On Hand Details'!$A$8:$L$219,COLUMN()+1,0),"Not Found"))</f>
        <v/>
      </c>
      <c r="C62" s="7" t="str">
        <f>IF(B62="","",IFERROR(VLOOKUP($A62&amp;$L62,'On Hand Details'!$A$8:$L$219,COLUMN()+1,0),"Not Found"))</f>
        <v/>
      </c>
      <c r="D62" s="7" t="str">
        <f>IF(C62="","",IFERROR(VLOOKUP($A62&amp;$L62,'On Hand Details'!$A$8:$L$219,COLUMN()+1,0),"Not Found"))</f>
        <v/>
      </c>
      <c r="E62" s="7" t="str">
        <f>IF(D62="","",IFERROR(VLOOKUP($A62&amp;$L62,'On Hand Details'!$A$8:$L$219,COLUMN()+1,0),"Not Found"))</f>
        <v/>
      </c>
      <c r="F62" s="7" t="str">
        <f>IF(E62="","",IFERROR(VLOOKUP($A62&amp;$L62,'On Hand Details'!$A$8:$L$219,COLUMN()+1,0),"Not Found"))</f>
        <v/>
      </c>
      <c r="G62" s="7" t="str">
        <f>IF(F62="","",IFERROR(VLOOKUP($A62&amp;$L62,'On Hand Details'!$A$8:$L$219,COLUMN()+1,0),"Not Found"))</f>
        <v/>
      </c>
      <c r="H62" s="7" t="str">
        <f>IF(G62="","",IFERROR(VLOOKUP($A62&amp;$L62,'On Hand Details'!$A$8:$L$219,COLUMN()+1,0),"Not Found"))</f>
        <v/>
      </c>
      <c r="I62" s="7" t="str">
        <f>IF(H62="","",IFERROR(VLOOKUP($A62&amp;$L62,'On Hand Details'!$A$8:$L$219,COLUMN()+1,0),"Not Found"))</f>
        <v/>
      </c>
      <c r="J62" s="7" t="str">
        <f>IF(I62="","",IFERROR(VLOOKUP($A62&amp;$L62,'On Hand Details'!$A$8:$L$219,COLUMN()+1,0),"Not Found"))</f>
        <v/>
      </c>
      <c r="K62" s="7" t="str">
        <f>IF(J62="","",IFERROR(VLOOKUP($A62&amp;$L62,'On Hand Details'!$A$8:$L$219,COLUMN()+1,0),"Not Found"))</f>
        <v/>
      </c>
      <c r="L62" s="7"/>
    </row>
    <row r="63" spans="1:12">
      <c r="A63" s="7"/>
      <c r="B63" s="7" t="str">
        <f>IF(A63="","",IFERROR(VLOOKUP($A63&amp;$L63,'On Hand Details'!$A$8:$L$219,COLUMN()+1,0),"Not Found"))</f>
        <v/>
      </c>
      <c r="C63" s="7" t="str">
        <f>IF(B63="","",IFERROR(VLOOKUP($A63&amp;$L63,'On Hand Details'!$A$8:$L$219,COLUMN()+1,0),"Not Found"))</f>
        <v/>
      </c>
      <c r="D63" s="7" t="str">
        <f>IF(C63="","",IFERROR(VLOOKUP($A63&amp;$L63,'On Hand Details'!$A$8:$L$219,COLUMN()+1,0),"Not Found"))</f>
        <v/>
      </c>
      <c r="E63" s="7" t="str">
        <f>IF(D63="","",IFERROR(VLOOKUP($A63&amp;$L63,'On Hand Details'!$A$8:$L$219,COLUMN()+1,0),"Not Found"))</f>
        <v/>
      </c>
      <c r="F63" s="7" t="str">
        <f>IF(E63="","",IFERROR(VLOOKUP($A63&amp;$L63,'On Hand Details'!$A$8:$L$219,COLUMN()+1,0),"Not Found"))</f>
        <v/>
      </c>
      <c r="G63" s="7" t="str">
        <f>IF(F63="","",IFERROR(VLOOKUP($A63&amp;$L63,'On Hand Details'!$A$8:$L$219,COLUMN()+1,0),"Not Found"))</f>
        <v/>
      </c>
      <c r="H63" s="7" t="str">
        <f>IF(G63="","",IFERROR(VLOOKUP($A63&amp;$L63,'On Hand Details'!$A$8:$L$219,COLUMN()+1,0),"Not Found"))</f>
        <v/>
      </c>
      <c r="I63" s="7" t="str">
        <f>IF(H63="","",IFERROR(VLOOKUP($A63&amp;$L63,'On Hand Details'!$A$8:$L$219,COLUMN()+1,0),"Not Found"))</f>
        <v/>
      </c>
      <c r="J63" s="7" t="str">
        <f>IF(I63="","",IFERROR(VLOOKUP($A63&amp;$L63,'On Hand Details'!$A$8:$L$219,COLUMN()+1,0),"Not Found"))</f>
        <v/>
      </c>
      <c r="K63" s="7" t="str">
        <f>IF(J63="","",IFERROR(VLOOKUP($A63&amp;$L63,'On Hand Details'!$A$8:$L$219,COLUMN()+1,0),"Not Found"))</f>
        <v/>
      </c>
      <c r="L63" s="7"/>
    </row>
    <row r="64" spans="1:12">
      <c r="A64" s="7"/>
      <c r="B64" s="7" t="str">
        <f>IF(A64="","",IFERROR(VLOOKUP($A64&amp;$L64,'On Hand Details'!$A$8:$L$219,COLUMN()+1,0),"Not Found"))</f>
        <v/>
      </c>
      <c r="C64" s="7" t="str">
        <f>IF(B64="","",IFERROR(VLOOKUP($A64&amp;$L64,'On Hand Details'!$A$8:$L$219,COLUMN()+1,0),"Not Found"))</f>
        <v/>
      </c>
      <c r="D64" s="7" t="str">
        <f>IF(C64="","",IFERROR(VLOOKUP($A64&amp;$L64,'On Hand Details'!$A$8:$L$219,COLUMN()+1,0),"Not Found"))</f>
        <v/>
      </c>
      <c r="E64" s="7" t="str">
        <f>IF(D64="","",IFERROR(VLOOKUP($A64&amp;$L64,'On Hand Details'!$A$8:$L$219,COLUMN()+1,0),"Not Found"))</f>
        <v/>
      </c>
      <c r="F64" s="7" t="str">
        <f>IF(E64="","",IFERROR(VLOOKUP($A64&amp;$L64,'On Hand Details'!$A$8:$L$219,COLUMN()+1,0),"Not Found"))</f>
        <v/>
      </c>
      <c r="G64" s="7" t="str">
        <f>IF(F64="","",IFERROR(VLOOKUP($A64&amp;$L64,'On Hand Details'!$A$8:$L$219,COLUMN()+1,0),"Not Found"))</f>
        <v/>
      </c>
      <c r="H64" s="7" t="str">
        <f>IF(G64="","",IFERROR(VLOOKUP($A64&amp;$L64,'On Hand Details'!$A$8:$L$219,COLUMN()+1,0),"Not Found"))</f>
        <v/>
      </c>
      <c r="I64" s="7" t="str">
        <f>IF(H64="","",IFERROR(VLOOKUP($A64&amp;$L64,'On Hand Details'!$A$8:$L$219,COLUMN()+1,0),"Not Found"))</f>
        <v/>
      </c>
      <c r="J64" s="7" t="str">
        <f>IF(I64="","",IFERROR(VLOOKUP($A64&amp;$L64,'On Hand Details'!$A$8:$L$219,COLUMN()+1,0),"Not Found"))</f>
        <v/>
      </c>
      <c r="K64" s="7" t="str">
        <f>IF(J64="","",IFERROR(VLOOKUP($A64&amp;$L64,'On Hand Details'!$A$8:$L$219,COLUMN()+1,0),"Not Found"))</f>
        <v/>
      </c>
      <c r="L64" s="7"/>
    </row>
    <row r="65" spans="1:12">
      <c r="A65" s="7"/>
      <c r="B65" s="7" t="str">
        <f>IF(A65="","",IFERROR(VLOOKUP($A65&amp;$L65,'On Hand Details'!$A$8:$L$219,COLUMN()+1,0),"Not Found"))</f>
        <v/>
      </c>
      <c r="C65" s="7" t="str">
        <f>IF(B65="","",IFERROR(VLOOKUP($A65&amp;$L65,'On Hand Details'!$A$8:$L$219,COLUMN()+1,0),"Not Found"))</f>
        <v/>
      </c>
      <c r="D65" s="7" t="str">
        <f>IF(C65="","",IFERROR(VLOOKUP($A65&amp;$L65,'On Hand Details'!$A$8:$L$219,COLUMN()+1,0),"Not Found"))</f>
        <v/>
      </c>
      <c r="E65" s="7" t="str">
        <f>IF(D65="","",IFERROR(VLOOKUP($A65&amp;$L65,'On Hand Details'!$A$8:$L$219,COLUMN()+1,0),"Not Found"))</f>
        <v/>
      </c>
      <c r="F65" s="7" t="str">
        <f>IF(E65="","",IFERROR(VLOOKUP($A65&amp;$L65,'On Hand Details'!$A$8:$L$219,COLUMN()+1,0),"Not Found"))</f>
        <v/>
      </c>
      <c r="G65" s="7" t="str">
        <f>IF(F65="","",IFERROR(VLOOKUP($A65&amp;$L65,'On Hand Details'!$A$8:$L$219,COLUMN()+1,0),"Not Found"))</f>
        <v/>
      </c>
      <c r="H65" s="7" t="str">
        <f>IF(G65="","",IFERROR(VLOOKUP($A65&amp;$L65,'On Hand Details'!$A$8:$L$219,COLUMN()+1,0),"Not Found"))</f>
        <v/>
      </c>
      <c r="I65" s="7" t="str">
        <f>IF(H65="","",IFERROR(VLOOKUP($A65&amp;$L65,'On Hand Details'!$A$8:$L$219,COLUMN()+1,0),"Not Found"))</f>
        <v/>
      </c>
      <c r="J65" s="7" t="str">
        <f>IF(I65="","",IFERROR(VLOOKUP($A65&amp;$L65,'On Hand Details'!$A$8:$L$219,COLUMN()+1,0),"Not Found"))</f>
        <v/>
      </c>
      <c r="K65" s="7" t="str">
        <f>IF(J65="","",IFERROR(VLOOKUP($A65&amp;$L65,'On Hand Details'!$A$8:$L$219,COLUMN()+1,0),"Not Found"))</f>
        <v/>
      </c>
      <c r="L65" s="7"/>
    </row>
    <row r="66" spans="1:12">
      <c r="A66" s="7"/>
      <c r="B66" s="7" t="str">
        <f>IF(A66="","",IFERROR(VLOOKUP($A66&amp;$L66,'On Hand Details'!$A$8:$L$219,COLUMN()+1,0),"Not Found"))</f>
        <v/>
      </c>
      <c r="C66" s="7" t="str">
        <f>IF(B66="","",IFERROR(VLOOKUP($A66&amp;$L66,'On Hand Details'!$A$8:$L$219,COLUMN()+1,0),"Not Found"))</f>
        <v/>
      </c>
      <c r="D66" s="7" t="str">
        <f>IF(C66="","",IFERROR(VLOOKUP($A66&amp;$L66,'On Hand Details'!$A$8:$L$219,COLUMN()+1,0),"Not Found"))</f>
        <v/>
      </c>
      <c r="E66" s="7" t="str">
        <f>IF(D66="","",IFERROR(VLOOKUP($A66&amp;$L66,'On Hand Details'!$A$8:$L$219,COLUMN()+1,0),"Not Found"))</f>
        <v/>
      </c>
      <c r="F66" s="7" t="str">
        <f>IF(E66="","",IFERROR(VLOOKUP($A66&amp;$L66,'On Hand Details'!$A$8:$L$219,COLUMN()+1,0),"Not Found"))</f>
        <v/>
      </c>
      <c r="G66" s="7" t="str">
        <f>IF(F66="","",IFERROR(VLOOKUP($A66&amp;$L66,'On Hand Details'!$A$8:$L$219,COLUMN()+1,0),"Not Found"))</f>
        <v/>
      </c>
      <c r="H66" s="7" t="str">
        <f>IF(G66="","",IFERROR(VLOOKUP($A66&amp;$L66,'On Hand Details'!$A$8:$L$219,COLUMN()+1,0),"Not Found"))</f>
        <v/>
      </c>
      <c r="I66" s="7" t="str">
        <f>IF(H66="","",IFERROR(VLOOKUP($A66&amp;$L66,'On Hand Details'!$A$8:$L$219,COLUMN()+1,0),"Not Found"))</f>
        <v/>
      </c>
      <c r="J66" s="7" t="str">
        <f>IF(I66="","",IFERROR(VLOOKUP($A66&amp;$L66,'On Hand Details'!$A$8:$L$219,COLUMN()+1,0),"Not Found"))</f>
        <v/>
      </c>
      <c r="K66" s="7" t="str">
        <f>IF(J66="","",IFERROR(VLOOKUP($A66&amp;$L66,'On Hand Details'!$A$8:$L$219,COLUMN()+1,0),"Not Found"))</f>
        <v/>
      </c>
      <c r="L66" s="7"/>
    </row>
    <row r="67" spans="1:12">
      <c r="A67" s="7"/>
      <c r="B67" s="7" t="str">
        <f>IF(A67="","",IFERROR(VLOOKUP($A67&amp;$L67,'On Hand Details'!$A$8:$L$219,COLUMN()+1,0),"Not Found"))</f>
        <v/>
      </c>
      <c r="C67" s="7" t="str">
        <f>IF(B67="","",IFERROR(VLOOKUP($A67&amp;$L67,'On Hand Details'!$A$8:$L$219,COLUMN()+1,0),"Not Found"))</f>
        <v/>
      </c>
      <c r="D67" s="7" t="str">
        <f>IF(C67="","",IFERROR(VLOOKUP($A67&amp;$L67,'On Hand Details'!$A$8:$L$219,COLUMN()+1,0),"Not Found"))</f>
        <v/>
      </c>
      <c r="E67" s="7" t="str">
        <f>IF(D67="","",IFERROR(VLOOKUP($A67&amp;$L67,'On Hand Details'!$A$8:$L$219,COLUMN()+1,0),"Not Found"))</f>
        <v/>
      </c>
      <c r="F67" s="7" t="str">
        <f>IF(E67="","",IFERROR(VLOOKUP($A67&amp;$L67,'On Hand Details'!$A$8:$L$219,COLUMN()+1,0),"Not Found"))</f>
        <v/>
      </c>
      <c r="G67" s="7" t="str">
        <f>IF(F67="","",IFERROR(VLOOKUP($A67&amp;$L67,'On Hand Details'!$A$8:$L$219,COLUMN()+1,0),"Not Found"))</f>
        <v/>
      </c>
      <c r="H67" s="7" t="str">
        <f>IF(G67="","",IFERROR(VLOOKUP($A67&amp;$L67,'On Hand Details'!$A$8:$L$219,COLUMN()+1,0),"Not Found"))</f>
        <v/>
      </c>
      <c r="I67" s="7" t="str">
        <f>IF(H67="","",IFERROR(VLOOKUP($A67&amp;$L67,'On Hand Details'!$A$8:$L$219,COLUMN()+1,0),"Not Found"))</f>
        <v/>
      </c>
      <c r="J67" s="7" t="str">
        <f>IF(I67="","",IFERROR(VLOOKUP($A67&amp;$L67,'On Hand Details'!$A$8:$L$219,COLUMN()+1,0),"Not Found"))</f>
        <v/>
      </c>
      <c r="K67" s="7" t="str">
        <f>IF(J67="","",IFERROR(VLOOKUP($A67&amp;$L67,'On Hand Details'!$A$8:$L$219,COLUMN()+1,0),"Not Found"))</f>
        <v/>
      </c>
      <c r="L67" s="7"/>
    </row>
    <row r="68" spans="1:12">
      <c r="A68" s="7"/>
      <c r="B68" s="7" t="str">
        <f>IF(A68="","",IFERROR(VLOOKUP($A68&amp;$L68,'On Hand Details'!$A$8:$L$219,COLUMN()+1,0),"Not Found"))</f>
        <v/>
      </c>
      <c r="C68" s="7" t="str">
        <f>IF(B68="","",IFERROR(VLOOKUP($A68&amp;$L68,'On Hand Details'!$A$8:$L$219,COLUMN()+1,0),"Not Found"))</f>
        <v/>
      </c>
      <c r="D68" s="7" t="str">
        <f>IF(C68="","",IFERROR(VLOOKUP($A68&amp;$L68,'On Hand Details'!$A$8:$L$219,COLUMN()+1,0),"Not Found"))</f>
        <v/>
      </c>
      <c r="E68" s="7" t="str">
        <f>IF(D68="","",IFERROR(VLOOKUP($A68&amp;$L68,'On Hand Details'!$A$8:$L$219,COLUMN()+1,0),"Not Found"))</f>
        <v/>
      </c>
      <c r="F68" s="7" t="str">
        <f>IF(E68="","",IFERROR(VLOOKUP($A68&amp;$L68,'On Hand Details'!$A$8:$L$219,COLUMN()+1,0),"Not Found"))</f>
        <v/>
      </c>
      <c r="G68" s="7" t="str">
        <f>IF(F68="","",IFERROR(VLOOKUP($A68&amp;$L68,'On Hand Details'!$A$8:$L$219,COLUMN()+1,0),"Not Found"))</f>
        <v/>
      </c>
      <c r="H68" s="7" t="str">
        <f>IF(G68="","",IFERROR(VLOOKUP($A68&amp;$L68,'On Hand Details'!$A$8:$L$219,COLUMN()+1,0),"Not Found"))</f>
        <v/>
      </c>
      <c r="I68" s="7" t="str">
        <f>IF(H68="","",IFERROR(VLOOKUP($A68&amp;$L68,'On Hand Details'!$A$8:$L$219,COLUMN()+1,0),"Not Found"))</f>
        <v/>
      </c>
      <c r="J68" s="7" t="str">
        <f>IF(I68="","",IFERROR(VLOOKUP($A68&amp;$L68,'On Hand Details'!$A$8:$L$219,COLUMN()+1,0),"Not Found"))</f>
        <v/>
      </c>
      <c r="K68" s="7" t="str">
        <f>IF(J68="","",IFERROR(VLOOKUP($A68&amp;$L68,'On Hand Details'!$A$8:$L$219,COLUMN()+1,0),"Not Found"))</f>
        <v/>
      </c>
      <c r="L68" s="7"/>
    </row>
    <row r="69" spans="1:12">
      <c r="A69" s="7"/>
      <c r="B69" s="7" t="str">
        <f>IF(A69="","",IFERROR(VLOOKUP($A69&amp;$L69,'On Hand Details'!$A$8:$L$219,COLUMN()+1,0),"Not Found"))</f>
        <v/>
      </c>
      <c r="C69" s="7" t="str">
        <f>IF(B69="","",IFERROR(VLOOKUP($A69&amp;$L69,'On Hand Details'!$A$8:$L$219,COLUMN()+1,0),"Not Found"))</f>
        <v/>
      </c>
      <c r="D69" s="7" t="str">
        <f>IF(C69="","",IFERROR(VLOOKUP($A69&amp;$L69,'On Hand Details'!$A$8:$L$219,COLUMN()+1,0),"Not Found"))</f>
        <v/>
      </c>
      <c r="E69" s="7" t="str">
        <f>IF(D69="","",IFERROR(VLOOKUP($A69&amp;$L69,'On Hand Details'!$A$8:$L$219,COLUMN()+1,0),"Not Found"))</f>
        <v/>
      </c>
      <c r="F69" s="7" t="str">
        <f>IF(E69="","",IFERROR(VLOOKUP($A69&amp;$L69,'On Hand Details'!$A$8:$L$219,COLUMN()+1,0),"Not Found"))</f>
        <v/>
      </c>
      <c r="G69" s="7" t="str">
        <f>IF(F69="","",IFERROR(VLOOKUP($A69&amp;$L69,'On Hand Details'!$A$8:$L$219,COLUMN()+1,0),"Not Found"))</f>
        <v/>
      </c>
      <c r="H69" s="7" t="str">
        <f>IF(G69="","",IFERROR(VLOOKUP($A69&amp;$L69,'On Hand Details'!$A$8:$L$219,COLUMN()+1,0),"Not Found"))</f>
        <v/>
      </c>
      <c r="I69" s="7" t="str">
        <f>IF(H69="","",IFERROR(VLOOKUP($A69&amp;$L69,'On Hand Details'!$A$8:$L$219,COLUMN()+1,0),"Not Found"))</f>
        <v/>
      </c>
      <c r="J69" s="7" t="str">
        <f>IF(I69="","",IFERROR(VLOOKUP($A69&amp;$L69,'On Hand Details'!$A$8:$L$219,COLUMN()+1,0),"Not Found"))</f>
        <v/>
      </c>
      <c r="K69" s="7" t="str">
        <f>IF(J69="","",IFERROR(VLOOKUP($A69&amp;$L69,'On Hand Details'!$A$8:$L$219,COLUMN()+1,0),"Not Found"))</f>
        <v/>
      </c>
      <c r="L69" s="7"/>
    </row>
    <row r="70" spans="1:12">
      <c r="A70" s="7"/>
      <c r="B70" s="7" t="str">
        <f>IF(A70="","",IFERROR(VLOOKUP($A70&amp;$L70,'On Hand Details'!$A$8:$L$219,COLUMN()+1,0),"Not Found"))</f>
        <v/>
      </c>
      <c r="C70" s="7" t="str">
        <f>IF(B70="","",IFERROR(VLOOKUP($A70&amp;$L70,'On Hand Details'!$A$8:$L$219,COLUMN()+1,0),"Not Found"))</f>
        <v/>
      </c>
      <c r="D70" s="7" t="str">
        <f>IF(C70="","",IFERROR(VLOOKUP($A70&amp;$L70,'On Hand Details'!$A$8:$L$219,COLUMN()+1,0),"Not Found"))</f>
        <v/>
      </c>
      <c r="E70" s="7" t="str">
        <f>IF(D70="","",IFERROR(VLOOKUP($A70&amp;$L70,'On Hand Details'!$A$8:$L$219,COLUMN()+1,0),"Not Found"))</f>
        <v/>
      </c>
      <c r="F70" s="7" t="str">
        <f>IF(E70="","",IFERROR(VLOOKUP($A70&amp;$L70,'On Hand Details'!$A$8:$L$219,COLUMN()+1,0),"Not Found"))</f>
        <v/>
      </c>
      <c r="G70" s="7" t="str">
        <f>IF(F70="","",IFERROR(VLOOKUP($A70&amp;$L70,'On Hand Details'!$A$8:$L$219,COLUMN()+1,0),"Not Found"))</f>
        <v/>
      </c>
      <c r="H70" s="7" t="str">
        <f>IF(G70="","",IFERROR(VLOOKUP($A70&amp;$L70,'On Hand Details'!$A$8:$L$219,COLUMN()+1,0),"Not Found"))</f>
        <v/>
      </c>
      <c r="I70" s="7" t="str">
        <f>IF(H70="","",IFERROR(VLOOKUP($A70&amp;$L70,'On Hand Details'!$A$8:$L$219,COLUMN()+1,0),"Not Found"))</f>
        <v/>
      </c>
      <c r="J70" s="7" t="str">
        <f>IF(I70="","",IFERROR(VLOOKUP($A70&amp;$L70,'On Hand Details'!$A$8:$L$219,COLUMN()+1,0),"Not Found"))</f>
        <v/>
      </c>
      <c r="K70" s="7" t="str">
        <f>IF(J70="","",IFERROR(VLOOKUP($A70&amp;$L70,'On Hand Details'!$A$8:$L$219,COLUMN()+1,0),"Not Found"))</f>
        <v/>
      </c>
      <c r="L70" s="7"/>
    </row>
    <row r="71" spans="1:12">
      <c r="A71" s="7"/>
      <c r="B71" s="7" t="str">
        <f>IF(A71="","",IFERROR(VLOOKUP($A71&amp;$L71,'On Hand Details'!$A$8:$L$219,COLUMN()+1,0),"Not Found"))</f>
        <v/>
      </c>
      <c r="C71" s="7" t="str">
        <f>IF(B71="","",IFERROR(VLOOKUP($A71&amp;$L71,'On Hand Details'!$A$8:$L$219,COLUMN()+1,0),"Not Found"))</f>
        <v/>
      </c>
      <c r="D71" s="7" t="str">
        <f>IF(C71="","",IFERROR(VLOOKUP($A71&amp;$L71,'On Hand Details'!$A$8:$L$219,COLUMN()+1,0),"Not Found"))</f>
        <v/>
      </c>
      <c r="E71" s="7" t="str">
        <f>IF(D71="","",IFERROR(VLOOKUP($A71&amp;$L71,'On Hand Details'!$A$8:$L$219,COLUMN()+1,0),"Not Found"))</f>
        <v/>
      </c>
      <c r="F71" s="7" t="str">
        <f>IF(E71="","",IFERROR(VLOOKUP($A71&amp;$L71,'On Hand Details'!$A$8:$L$219,COLUMN()+1,0),"Not Found"))</f>
        <v/>
      </c>
      <c r="G71" s="7" t="str">
        <f>IF(F71="","",IFERROR(VLOOKUP($A71&amp;$L71,'On Hand Details'!$A$8:$L$219,COLUMN()+1,0),"Not Found"))</f>
        <v/>
      </c>
      <c r="H71" s="7" t="str">
        <f>IF(G71="","",IFERROR(VLOOKUP($A71&amp;$L71,'On Hand Details'!$A$8:$L$219,COLUMN()+1,0),"Not Found"))</f>
        <v/>
      </c>
      <c r="I71" s="7" t="str">
        <f>IF(H71="","",IFERROR(VLOOKUP($A71&amp;$L71,'On Hand Details'!$A$8:$L$219,COLUMN()+1,0),"Not Found"))</f>
        <v/>
      </c>
      <c r="J71" s="7" t="str">
        <f>IF(I71="","",IFERROR(VLOOKUP($A71&amp;$L71,'On Hand Details'!$A$8:$L$219,COLUMN()+1,0),"Not Found"))</f>
        <v/>
      </c>
      <c r="K71" s="7" t="str">
        <f>IF(J71="","",IFERROR(VLOOKUP($A71&amp;$L71,'On Hand Details'!$A$8:$L$219,COLUMN()+1,0),"Not Found"))</f>
        <v/>
      </c>
      <c r="L71" s="7"/>
    </row>
    <row r="72" spans="1:12">
      <c r="A72" s="7"/>
      <c r="B72" s="7" t="str">
        <f>IF(A72="","",IFERROR(VLOOKUP($A72&amp;$L72,'On Hand Details'!$A$8:$L$219,COLUMN()+1,0),"Not Found"))</f>
        <v/>
      </c>
      <c r="C72" s="7" t="str">
        <f>IF(B72="","",IFERROR(VLOOKUP($A72&amp;$L72,'On Hand Details'!$A$8:$L$219,COLUMN()+1,0),"Not Found"))</f>
        <v/>
      </c>
      <c r="D72" s="7" t="str">
        <f>IF(C72="","",IFERROR(VLOOKUP($A72&amp;$L72,'On Hand Details'!$A$8:$L$219,COLUMN()+1,0),"Not Found"))</f>
        <v/>
      </c>
      <c r="E72" s="7" t="str">
        <f>IF(D72="","",IFERROR(VLOOKUP($A72&amp;$L72,'On Hand Details'!$A$8:$L$219,COLUMN()+1,0),"Not Found"))</f>
        <v/>
      </c>
      <c r="F72" s="7" t="str">
        <f>IF(E72="","",IFERROR(VLOOKUP($A72&amp;$L72,'On Hand Details'!$A$8:$L$219,COLUMN()+1,0),"Not Found"))</f>
        <v/>
      </c>
      <c r="G72" s="7" t="str">
        <f>IF(F72="","",IFERROR(VLOOKUP($A72&amp;$L72,'On Hand Details'!$A$8:$L$219,COLUMN()+1,0),"Not Found"))</f>
        <v/>
      </c>
      <c r="H72" s="7" t="str">
        <f>IF(G72="","",IFERROR(VLOOKUP($A72&amp;$L72,'On Hand Details'!$A$8:$L$219,COLUMN()+1,0),"Not Found"))</f>
        <v/>
      </c>
      <c r="I72" s="7" t="str">
        <f>IF(H72="","",IFERROR(VLOOKUP($A72&amp;$L72,'On Hand Details'!$A$8:$L$219,COLUMN()+1,0),"Not Found"))</f>
        <v/>
      </c>
      <c r="J72" s="7" t="str">
        <f>IF(I72="","",IFERROR(VLOOKUP($A72&amp;$L72,'On Hand Details'!$A$8:$L$219,COLUMN()+1,0),"Not Found"))</f>
        <v/>
      </c>
      <c r="K72" s="7" t="str">
        <f>IF(J72="","",IFERROR(VLOOKUP($A72&amp;$L72,'On Hand Details'!$A$8:$L$219,COLUMN()+1,0),"Not Found"))</f>
        <v/>
      </c>
      <c r="L72" s="7"/>
    </row>
    <row r="73" spans="1:12">
      <c r="A73" s="7"/>
      <c r="B73" s="7" t="str">
        <f>IF(A73="","",IFERROR(VLOOKUP($A73&amp;$L73,'On Hand Details'!$A$8:$L$219,COLUMN()+1,0),"Not Found"))</f>
        <v/>
      </c>
      <c r="C73" s="7" t="str">
        <f>IF(B73="","",IFERROR(VLOOKUP($A73&amp;$L73,'On Hand Details'!$A$8:$L$219,COLUMN()+1,0),"Not Found"))</f>
        <v/>
      </c>
      <c r="D73" s="7" t="str">
        <f>IF(C73="","",IFERROR(VLOOKUP($A73&amp;$L73,'On Hand Details'!$A$8:$L$219,COLUMN()+1,0),"Not Found"))</f>
        <v/>
      </c>
      <c r="E73" s="7" t="str">
        <f>IF(D73="","",IFERROR(VLOOKUP($A73&amp;$L73,'On Hand Details'!$A$8:$L$219,COLUMN()+1,0),"Not Found"))</f>
        <v/>
      </c>
      <c r="F73" s="7" t="str">
        <f>IF(E73="","",IFERROR(VLOOKUP($A73&amp;$L73,'On Hand Details'!$A$8:$L$219,COLUMN()+1,0),"Not Found"))</f>
        <v/>
      </c>
      <c r="G73" s="7" t="str">
        <f>IF(F73="","",IFERROR(VLOOKUP($A73&amp;$L73,'On Hand Details'!$A$8:$L$219,COLUMN()+1,0),"Not Found"))</f>
        <v/>
      </c>
      <c r="H73" s="7" t="str">
        <f>IF(G73="","",IFERROR(VLOOKUP($A73&amp;$L73,'On Hand Details'!$A$8:$L$219,COLUMN()+1,0),"Not Found"))</f>
        <v/>
      </c>
      <c r="I73" s="7" t="str">
        <f>IF(H73="","",IFERROR(VLOOKUP($A73&amp;$L73,'On Hand Details'!$A$8:$L$219,COLUMN()+1,0),"Not Found"))</f>
        <v/>
      </c>
      <c r="J73" s="7" t="str">
        <f>IF(I73="","",IFERROR(VLOOKUP($A73&amp;$L73,'On Hand Details'!$A$8:$L$219,COLUMN()+1,0),"Not Found"))</f>
        <v/>
      </c>
      <c r="K73" s="7" t="str">
        <f>IF(J73="","",IFERROR(VLOOKUP($A73&amp;$L73,'On Hand Details'!$A$8:$L$219,COLUMN()+1,0),"Not Found"))</f>
        <v/>
      </c>
      <c r="L73" s="7"/>
    </row>
    <row r="74" spans="1:12">
      <c r="A74" s="7"/>
      <c r="B74" s="7" t="str">
        <f>IF(A74="","",IFERROR(VLOOKUP($A74&amp;$L74,'On Hand Details'!$A$8:$L$219,COLUMN()+1,0),"Not Found"))</f>
        <v/>
      </c>
      <c r="C74" s="7" t="str">
        <f>IF(B74="","",IFERROR(VLOOKUP($A74&amp;$L74,'On Hand Details'!$A$8:$L$219,COLUMN()+1,0),"Not Found"))</f>
        <v/>
      </c>
      <c r="D74" s="7" t="str">
        <f>IF(C74="","",IFERROR(VLOOKUP($A74&amp;$L74,'On Hand Details'!$A$8:$L$219,COLUMN()+1,0),"Not Found"))</f>
        <v/>
      </c>
      <c r="E74" s="7" t="str">
        <f>IF(D74="","",IFERROR(VLOOKUP($A74&amp;$L74,'On Hand Details'!$A$8:$L$219,COLUMN()+1,0),"Not Found"))</f>
        <v/>
      </c>
      <c r="F74" s="7" t="str">
        <f>IF(E74="","",IFERROR(VLOOKUP($A74&amp;$L74,'On Hand Details'!$A$8:$L$219,COLUMN()+1,0),"Not Found"))</f>
        <v/>
      </c>
      <c r="G74" s="7" t="str">
        <f>IF(F74="","",IFERROR(VLOOKUP($A74&amp;$L74,'On Hand Details'!$A$8:$L$219,COLUMN()+1,0),"Not Found"))</f>
        <v/>
      </c>
      <c r="H74" s="7" t="str">
        <f>IF(G74="","",IFERROR(VLOOKUP($A74&amp;$L74,'On Hand Details'!$A$8:$L$219,COLUMN()+1,0),"Not Found"))</f>
        <v/>
      </c>
      <c r="I74" s="7" t="str">
        <f>IF(H74="","",IFERROR(VLOOKUP($A74&amp;$L74,'On Hand Details'!$A$8:$L$219,COLUMN()+1,0),"Not Found"))</f>
        <v/>
      </c>
      <c r="J74" s="7" t="str">
        <f>IF(I74="","",IFERROR(VLOOKUP($A74&amp;$L74,'On Hand Details'!$A$8:$L$219,COLUMN()+1,0),"Not Found"))</f>
        <v/>
      </c>
      <c r="K74" s="7" t="str">
        <f>IF(J74="","",IFERROR(VLOOKUP($A74&amp;$L74,'On Hand Details'!$A$8:$L$219,COLUMN()+1,0),"Not Found"))</f>
        <v/>
      </c>
      <c r="L74" s="7"/>
    </row>
    <row r="75" spans="1:12">
      <c r="A75" s="7"/>
      <c r="B75" s="7" t="str">
        <f>IF(A75="","",IFERROR(VLOOKUP($A75&amp;$L75,'On Hand Details'!$A$8:$L$219,COLUMN()+1,0),"Not Found"))</f>
        <v/>
      </c>
      <c r="C75" s="7" t="str">
        <f>IF(B75="","",IFERROR(VLOOKUP($A75&amp;$L75,'On Hand Details'!$A$8:$L$219,COLUMN()+1,0),"Not Found"))</f>
        <v/>
      </c>
      <c r="D75" s="7" t="str">
        <f>IF(C75="","",IFERROR(VLOOKUP($A75&amp;$L75,'On Hand Details'!$A$8:$L$219,COLUMN()+1,0),"Not Found"))</f>
        <v/>
      </c>
      <c r="E75" s="7" t="str">
        <f>IF(D75="","",IFERROR(VLOOKUP($A75&amp;$L75,'On Hand Details'!$A$8:$L$219,COLUMN()+1,0),"Not Found"))</f>
        <v/>
      </c>
      <c r="F75" s="7" t="str">
        <f>IF(E75="","",IFERROR(VLOOKUP($A75&amp;$L75,'On Hand Details'!$A$8:$L$219,COLUMN()+1,0),"Not Found"))</f>
        <v/>
      </c>
      <c r="G75" s="7" t="str">
        <f>IF(F75="","",IFERROR(VLOOKUP($A75&amp;$L75,'On Hand Details'!$A$8:$L$219,COLUMN()+1,0),"Not Found"))</f>
        <v/>
      </c>
      <c r="H75" s="7" t="str">
        <f>IF(G75="","",IFERROR(VLOOKUP($A75&amp;$L75,'On Hand Details'!$A$8:$L$219,COLUMN()+1,0),"Not Found"))</f>
        <v/>
      </c>
      <c r="I75" s="7" t="str">
        <f>IF(H75="","",IFERROR(VLOOKUP($A75&amp;$L75,'On Hand Details'!$A$8:$L$219,COLUMN()+1,0),"Not Found"))</f>
        <v/>
      </c>
      <c r="J75" s="7" t="str">
        <f>IF(I75="","",IFERROR(VLOOKUP($A75&amp;$L75,'On Hand Details'!$A$8:$L$219,COLUMN()+1,0),"Not Found"))</f>
        <v/>
      </c>
      <c r="K75" s="7" t="str">
        <f>IF(J75="","",IFERROR(VLOOKUP($A75&amp;$L75,'On Hand Details'!$A$8:$L$219,COLUMN()+1,0),"Not Found"))</f>
        <v/>
      </c>
      <c r="L75" s="7"/>
    </row>
    <row r="76" spans="1:12">
      <c r="A76" s="7"/>
      <c r="B76" s="7" t="str">
        <f>IF(A76="","",IFERROR(VLOOKUP($A76&amp;$L76,'On Hand Details'!$A$8:$L$219,COLUMN()+1,0),"Not Found"))</f>
        <v/>
      </c>
      <c r="C76" s="7" t="str">
        <f>IF(B76="","",IFERROR(VLOOKUP($A76&amp;$L76,'On Hand Details'!$A$8:$L$219,COLUMN()+1,0),"Not Found"))</f>
        <v/>
      </c>
      <c r="D76" s="7" t="str">
        <f>IF(C76="","",IFERROR(VLOOKUP($A76&amp;$L76,'On Hand Details'!$A$8:$L$219,COLUMN()+1,0),"Not Found"))</f>
        <v/>
      </c>
      <c r="E76" s="7" t="str">
        <f>IF(D76="","",IFERROR(VLOOKUP($A76&amp;$L76,'On Hand Details'!$A$8:$L$219,COLUMN()+1,0),"Not Found"))</f>
        <v/>
      </c>
      <c r="F76" s="7" t="str">
        <f>IF(E76="","",IFERROR(VLOOKUP($A76&amp;$L76,'On Hand Details'!$A$8:$L$219,COLUMN()+1,0),"Not Found"))</f>
        <v/>
      </c>
      <c r="G76" s="7" t="str">
        <f>IF(F76="","",IFERROR(VLOOKUP($A76&amp;$L76,'On Hand Details'!$A$8:$L$219,COLUMN()+1,0),"Not Found"))</f>
        <v/>
      </c>
      <c r="H76" s="7" t="str">
        <f>IF(G76="","",IFERROR(VLOOKUP($A76&amp;$L76,'On Hand Details'!$A$8:$L$219,COLUMN()+1,0),"Not Found"))</f>
        <v/>
      </c>
      <c r="I76" s="7" t="str">
        <f>IF(H76="","",IFERROR(VLOOKUP($A76&amp;$L76,'On Hand Details'!$A$8:$L$219,COLUMN()+1,0),"Not Found"))</f>
        <v/>
      </c>
      <c r="J76" s="7" t="str">
        <f>IF(I76="","",IFERROR(VLOOKUP($A76&amp;$L76,'On Hand Details'!$A$8:$L$219,COLUMN()+1,0),"Not Found"))</f>
        <v/>
      </c>
      <c r="K76" s="7" t="str">
        <f>IF(J76="","",IFERROR(VLOOKUP($A76&amp;$L76,'On Hand Details'!$A$8:$L$219,COLUMN()+1,0),"Not Found"))</f>
        <v/>
      </c>
      <c r="L76" s="7"/>
    </row>
    <row r="77" spans="1:12">
      <c r="A77" s="7"/>
      <c r="B77" s="7" t="str">
        <f>IF(A77="","",IFERROR(VLOOKUP($A77&amp;$L77,'On Hand Details'!$A$8:$L$219,COLUMN()+1,0),"Not Found"))</f>
        <v/>
      </c>
      <c r="C77" s="7" t="str">
        <f>IF(B77="","",IFERROR(VLOOKUP($A77&amp;$L77,'On Hand Details'!$A$8:$L$219,COLUMN()+1,0),"Not Found"))</f>
        <v/>
      </c>
      <c r="D77" s="7" t="str">
        <f>IF(C77="","",IFERROR(VLOOKUP($A77&amp;$L77,'On Hand Details'!$A$8:$L$219,COLUMN()+1,0),"Not Found"))</f>
        <v/>
      </c>
      <c r="E77" s="7" t="str">
        <f>IF(D77="","",IFERROR(VLOOKUP($A77&amp;$L77,'On Hand Details'!$A$8:$L$219,COLUMN()+1,0),"Not Found"))</f>
        <v/>
      </c>
      <c r="F77" s="7" t="str">
        <f>IF(E77="","",IFERROR(VLOOKUP($A77&amp;$L77,'On Hand Details'!$A$8:$L$219,COLUMN()+1,0),"Not Found"))</f>
        <v/>
      </c>
      <c r="G77" s="7" t="str">
        <f>IF(F77="","",IFERROR(VLOOKUP($A77&amp;$L77,'On Hand Details'!$A$8:$L$219,COLUMN()+1,0),"Not Found"))</f>
        <v/>
      </c>
      <c r="H77" s="7" t="str">
        <f>IF(G77="","",IFERROR(VLOOKUP($A77&amp;$L77,'On Hand Details'!$A$8:$L$219,COLUMN()+1,0),"Not Found"))</f>
        <v/>
      </c>
      <c r="I77" s="7" t="str">
        <f>IF(H77="","",IFERROR(VLOOKUP($A77&amp;$L77,'On Hand Details'!$A$8:$L$219,COLUMN()+1,0),"Not Found"))</f>
        <v/>
      </c>
      <c r="J77" s="7" t="str">
        <f>IF(I77="","",IFERROR(VLOOKUP($A77&amp;$L77,'On Hand Details'!$A$8:$L$219,COLUMN()+1,0),"Not Found"))</f>
        <v/>
      </c>
      <c r="K77" s="7" t="str">
        <f>IF(J77="","",IFERROR(VLOOKUP($A77&amp;$L77,'On Hand Details'!$A$8:$L$219,COLUMN()+1,0),"Not Found"))</f>
        <v/>
      </c>
      <c r="L77" s="7"/>
    </row>
    <row r="78" spans="1:12">
      <c r="A78" s="7"/>
      <c r="B78" s="7" t="str">
        <f>IF(A78="","",IFERROR(VLOOKUP($A78&amp;$L78,'On Hand Details'!$A$8:$L$219,COLUMN()+1,0),"Not Found"))</f>
        <v/>
      </c>
      <c r="C78" s="7" t="str">
        <f>IF(B78="","",IFERROR(VLOOKUP($A78&amp;$L78,'On Hand Details'!$A$8:$L$219,COLUMN()+1,0),"Not Found"))</f>
        <v/>
      </c>
      <c r="D78" s="7" t="str">
        <f>IF(C78="","",IFERROR(VLOOKUP($A78&amp;$L78,'On Hand Details'!$A$8:$L$219,COLUMN()+1,0),"Not Found"))</f>
        <v/>
      </c>
      <c r="E78" s="7" t="str">
        <f>IF(D78="","",IFERROR(VLOOKUP($A78&amp;$L78,'On Hand Details'!$A$8:$L$219,COLUMN()+1,0),"Not Found"))</f>
        <v/>
      </c>
      <c r="F78" s="7" t="str">
        <f>IF(E78="","",IFERROR(VLOOKUP($A78&amp;$L78,'On Hand Details'!$A$8:$L$219,COLUMN()+1,0),"Not Found"))</f>
        <v/>
      </c>
      <c r="G78" s="7" t="str">
        <f>IF(F78="","",IFERROR(VLOOKUP($A78&amp;$L78,'On Hand Details'!$A$8:$L$219,COLUMN()+1,0),"Not Found"))</f>
        <v/>
      </c>
      <c r="H78" s="7" t="str">
        <f>IF(G78="","",IFERROR(VLOOKUP($A78&amp;$L78,'On Hand Details'!$A$8:$L$219,COLUMN()+1,0),"Not Found"))</f>
        <v/>
      </c>
      <c r="I78" s="7" t="str">
        <f>IF(H78="","",IFERROR(VLOOKUP($A78&amp;$L78,'On Hand Details'!$A$8:$L$219,COLUMN()+1,0),"Not Found"))</f>
        <v/>
      </c>
      <c r="J78" s="7" t="str">
        <f>IF(I78="","",IFERROR(VLOOKUP($A78&amp;$L78,'On Hand Details'!$A$8:$L$219,COLUMN()+1,0),"Not Found"))</f>
        <v/>
      </c>
      <c r="K78" s="7" t="str">
        <f>IF(J78="","",IFERROR(VLOOKUP($A78&amp;$L78,'On Hand Details'!$A$8:$L$219,COLUMN()+1,0),"Not Found"))</f>
        <v/>
      </c>
      <c r="L78" s="7"/>
    </row>
    <row r="79" spans="1:12">
      <c r="A79" s="7"/>
      <c r="B79" s="7" t="str">
        <f>IF(A79="","",IFERROR(VLOOKUP($A79&amp;$L79,'On Hand Details'!$A$8:$L$219,COLUMN()+1,0),"Not Found"))</f>
        <v/>
      </c>
      <c r="C79" s="7" t="str">
        <f>IF(B79="","",IFERROR(VLOOKUP($A79&amp;$L79,'On Hand Details'!$A$8:$L$219,COLUMN()+1,0),"Not Found"))</f>
        <v/>
      </c>
      <c r="D79" s="7" t="str">
        <f>IF(C79="","",IFERROR(VLOOKUP($A79&amp;$L79,'On Hand Details'!$A$8:$L$219,COLUMN()+1,0),"Not Found"))</f>
        <v/>
      </c>
      <c r="E79" s="7" t="str">
        <f>IF(D79="","",IFERROR(VLOOKUP($A79&amp;$L79,'On Hand Details'!$A$8:$L$219,COLUMN()+1,0),"Not Found"))</f>
        <v/>
      </c>
      <c r="F79" s="7" t="str">
        <f>IF(E79="","",IFERROR(VLOOKUP($A79&amp;$L79,'On Hand Details'!$A$8:$L$219,COLUMN()+1,0),"Not Found"))</f>
        <v/>
      </c>
      <c r="G79" s="7" t="str">
        <f>IF(F79="","",IFERROR(VLOOKUP($A79&amp;$L79,'On Hand Details'!$A$8:$L$219,COLUMN()+1,0),"Not Found"))</f>
        <v/>
      </c>
      <c r="H79" s="7" t="str">
        <f>IF(G79="","",IFERROR(VLOOKUP($A79&amp;$L79,'On Hand Details'!$A$8:$L$219,COLUMN()+1,0),"Not Found"))</f>
        <v/>
      </c>
      <c r="I79" s="7" t="str">
        <f>IF(H79="","",IFERROR(VLOOKUP($A79&amp;$L79,'On Hand Details'!$A$8:$L$219,COLUMN()+1,0),"Not Found"))</f>
        <v/>
      </c>
      <c r="J79" s="7" t="str">
        <f>IF(I79="","",IFERROR(VLOOKUP($A79&amp;$L79,'On Hand Details'!$A$8:$L$219,COLUMN()+1,0),"Not Found"))</f>
        <v/>
      </c>
      <c r="K79" s="7" t="str">
        <f>IF(J79="","",IFERROR(VLOOKUP($A79&amp;$L79,'On Hand Details'!$A$8:$L$219,COLUMN()+1,0),"Not Found"))</f>
        <v/>
      </c>
      <c r="L79" s="7"/>
    </row>
    <row r="80" spans="1:12">
      <c r="A80" s="7"/>
      <c r="B80" s="7" t="str">
        <f>IF(A80="","",IFERROR(VLOOKUP($A80&amp;$L80,'On Hand Details'!$A$8:$L$219,COLUMN()+1,0),"Not Found"))</f>
        <v/>
      </c>
      <c r="C80" s="7" t="str">
        <f>IF(B80="","",IFERROR(VLOOKUP($A80&amp;$L80,'On Hand Details'!$A$8:$L$219,COLUMN()+1,0),"Not Found"))</f>
        <v/>
      </c>
      <c r="D80" s="7" t="str">
        <f>IF(C80="","",IFERROR(VLOOKUP($A80&amp;$L80,'On Hand Details'!$A$8:$L$219,COLUMN()+1,0),"Not Found"))</f>
        <v/>
      </c>
      <c r="E80" s="7" t="str">
        <f>IF(D80="","",IFERROR(VLOOKUP($A80&amp;$L80,'On Hand Details'!$A$8:$L$219,COLUMN()+1,0),"Not Found"))</f>
        <v/>
      </c>
      <c r="F80" s="7" t="str">
        <f>IF(E80="","",IFERROR(VLOOKUP($A80&amp;$L80,'On Hand Details'!$A$8:$L$219,COLUMN()+1,0),"Not Found"))</f>
        <v/>
      </c>
      <c r="G80" s="7" t="str">
        <f>IF(F80="","",IFERROR(VLOOKUP($A80&amp;$L80,'On Hand Details'!$A$8:$L$219,COLUMN()+1,0),"Not Found"))</f>
        <v/>
      </c>
      <c r="H80" s="7" t="str">
        <f>IF(G80="","",IFERROR(VLOOKUP($A80&amp;$L80,'On Hand Details'!$A$8:$L$219,COLUMN()+1,0),"Not Found"))</f>
        <v/>
      </c>
      <c r="I80" s="7" t="str">
        <f>IF(H80="","",IFERROR(VLOOKUP($A80&amp;$L80,'On Hand Details'!$A$8:$L$219,COLUMN()+1,0),"Not Found"))</f>
        <v/>
      </c>
      <c r="J80" s="7" t="str">
        <f>IF(I80="","",IFERROR(VLOOKUP($A80&amp;$L80,'On Hand Details'!$A$8:$L$219,COLUMN()+1,0),"Not Found"))</f>
        <v/>
      </c>
      <c r="K80" s="7" t="str">
        <f>IF(J80="","",IFERROR(VLOOKUP($A80&amp;$L80,'On Hand Details'!$A$8:$L$219,COLUMN()+1,0),"Not Found"))</f>
        <v/>
      </c>
      <c r="L80" s="7"/>
    </row>
    <row r="81" spans="1:12">
      <c r="A81" s="7"/>
      <c r="B81" s="7" t="str">
        <f>IF(A81="","",IFERROR(VLOOKUP($A81&amp;$L81,'On Hand Details'!$A$8:$L$219,COLUMN()+1,0),"Not Found"))</f>
        <v/>
      </c>
      <c r="C81" s="7" t="str">
        <f>IF(B81="","",IFERROR(VLOOKUP($A81&amp;$L81,'On Hand Details'!$A$8:$L$219,COLUMN()+1,0),"Not Found"))</f>
        <v/>
      </c>
      <c r="D81" s="7" t="str">
        <f>IF(C81="","",IFERROR(VLOOKUP($A81&amp;$L81,'On Hand Details'!$A$8:$L$219,COLUMN()+1,0),"Not Found"))</f>
        <v/>
      </c>
      <c r="E81" s="7" t="str">
        <f>IF(D81="","",IFERROR(VLOOKUP($A81&amp;$L81,'On Hand Details'!$A$8:$L$219,COLUMN()+1,0),"Not Found"))</f>
        <v/>
      </c>
      <c r="F81" s="7" t="str">
        <f>IF(E81="","",IFERROR(VLOOKUP($A81&amp;$L81,'On Hand Details'!$A$8:$L$219,COLUMN()+1,0),"Not Found"))</f>
        <v/>
      </c>
      <c r="G81" s="7" t="str">
        <f>IF(F81="","",IFERROR(VLOOKUP($A81&amp;$L81,'On Hand Details'!$A$8:$L$219,COLUMN()+1,0),"Not Found"))</f>
        <v/>
      </c>
      <c r="H81" s="7" t="str">
        <f>IF(G81="","",IFERROR(VLOOKUP($A81&amp;$L81,'On Hand Details'!$A$8:$L$219,COLUMN()+1,0),"Not Found"))</f>
        <v/>
      </c>
      <c r="I81" s="7" t="str">
        <f>IF(H81="","",IFERROR(VLOOKUP($A81&amp;$L81,'On Hand Details'!$A$8:$L$219,COLUMN()+1,0),"Not Found"))</f>
        <v/>
      </c>
      <c r="J81" s="7" t="str">
        <f>IF(I81="","",IFERROR(VLOOKUP($A81&amp;$L81,'On Hand Details'!$A$8:$L$219,COLUMN()+1,0),"Not Found"))</f>
        <v/>
      </c>
      <c r="K81" s="7" t="str">
        <f>IF(J81="","",IFERROR(VLOOKUP($A81&amp;$L81,'On Hand Details'!$A$8:$L$219,COLUMN()+1,0),"Not Found"))</f>
        <v/>
      </c>
      <c r="L81" s="7"/>
    </row>
    <row r="82" spans="1:12">
      <c r="A82" s="7"/>
      <c r="B82" s="7" t="str">
        <f>IF(A82="","",IFERROR(VLOOKUP($A82&amp;$L82,'On Hand Details'!$A$8:$L$219,COLUMN()+1,0),"Not Found"))</f>
        <v/>
      </c>
      <c r="C82" s="7" t="str">
        <f>IF(B82="","",IFERROR(VLOOKUP($A82&amp;$L82,'On Hand Details'!$A$8:$L$219,COLUMN()+1,0),"Not Found"))</f>
        <v/>
      </c>
      <c r="D82" s="7" t="str">
        <f>IF(C82="","",IFERROR(VLOOKUP($A82&amp;$L82,'On Hand Details'!$A$8:$L$219,COLUMN()+1,0),"Not Found"))</f>
        <v/>
      </c>
      <c r="E82" s="7" t="str">
        <f>IF(D82="","",IFERROR(VLOOKUP($A82&amp;$L82,'On Hand Details'!$A$8:$L$219,COLUMN()+1,0),"Not Found"))</f>
        <v/>
      </c>
      <c r="F82" s="7" t="str">
        <f>IF(E82="","",IFERROR(VLOOKUP($A82&amp;$L82,'On Hand Details'!$A$8:$L$219,COLUMN()+1,0),"Not Found"))</f>
        <v/>
      </c>
      <c r="G82" s="7" t="str">
        <f>IF(F82="","",IFERROR(VLOOKUP($A82&amp;$L82,'On Hand Details'!$A$8:$L$219,COLUMN()+1,0),"Not Found"))</f>
        <v/>
      </c>
      <c r="H82" s="7" t="str">
        <f>IF(G82="","",IFERROR(VLOOKUP($A82&amp;$L82,'On Hand Details'!$A$8:$L$219,COLUMN()+1,0),"Not Found"))</f>
        <v/>
      </c>
      <c r="I82" s="7" t="str">
        <f>IF(H82="","",IFERROR(VLOOKUP($A82&amp;$L82,'On Hand Details'!$A$8:$L$219,COLUMN()+1,0),"Not Found"))</f>
        <v/>
      </c>
      <c r="J82" s="7" t="str">
        <f>IF(I82="","",IFERROR(VLOOKUP($A82&amp;$L82,'On Hand Details'!$A$8:$L$219,COLUMN()+1,0),"Not Found"))</f>
        <v/>
      </c>
      <c r="K82" s="7" t="str">
        <f>IF(J82="","",IFERROR(VLOOKUP($A82&amp;$L82,'On Hand Details'!$A$8:$L$219,COLUMN()+1,0),"Not Found"))</f>
        <v/>
      </c>
      <c r="L82" s="7"/>
    </row>
    <row r="83" spans="1:12">
      <c r="A83" s="7"/>
      <c r="B83" s="7" t="str">
        <f>IF(A83="","",IFERROR(VLOOKUP($A83&amp;$L83,'On Hand Details'!$A$8:$L$219,COLUMN()+1,0),"Not Found"))</f>
        <v/>
      </c>
      <c r="C83" s="7" t="str">
        <f>IF(B83="","",IFERROR(VLOOKUP($A83&amp;$L83,'On Hand Details'!$A$8:$L$219,COLUMN()+1,0),"Not Found"))</f>
        <v/>
      </c>
      <c r="D83" s="7" t="str">
        <f>IF(C83="","",IFERROR(VLOOKUP($A83&amp;$L83,'On Hand Details'!$A$8:$L$219,COLUMN()+1,0),"Not Found"))</f>
        <v/>
      </c>
      <c r="E83" s="7" t="str">
        <f>IF(D83="","",IFERROR(VLOOKUP($A83&amp;$L83,'On Hand Details'!$A$8:$L$219,COLUMN()+1,0),"Not Found"))</f>
        <v/>
      </c>
      <c r="F83" s="7" t="str">
        <f>IF(E83="","",IFERROR(VLOOKUP($A83&amp;$L83,'On Hand Details'!$A$8:$L$219,COLUMN()+1,0),"Not Found"))</f>
        <v/>
      </c>
      <c r="G83" s="7" t="str">
        <f>IF(F83="","",IFERROR(VLOOKUP($A83&amp;$L83,'On Hand Details'!$A$8:$L$219,COLUMN()+1,0),"Not Found"))</f>
        <v/>
      </c>
      <c r="H83" s="7" t="str">
        <f>IF(G83="","",IFERROR(VLOOKUP($A83&amp;$L83,'On Hand Details'!$A$8:$L$219,COLUMN()+1,0),"Not Found"))</f>
        <v/>
      </c>
      <c r="I83" s="7" t="str">
        <f>IF(H83="","",IFERROR(VLOOKUP($A83&amp;$L83,'On Hand Details'!$A$8:$L$219,COLUMN()+1,0),"Not Found"))</f>
        <v/>
      </c>
      <c r="J83" s="7" t="str">
        <f>IF(I83="","",IFERROR(VLOOKUP($A83&amp;$L83,'On Hand Details'!$A$8:$L$219,COLUMN()+1,0),"Not Found"))</f>
        <v/>
      </c>
      <c r="K83" s="7" t="str">
        <f>IF(J83="","",IFERROR(VLOOKUP($A83&amp;$L83,'On Hand Details'!$A$8:$L$219,COLUMN()+1,0),"Not Found"))</f>
        <v/>
      </c>
      <c r="L83" s="7"/>
    </row>
    <row r="84" spans="1:12">
      <c r="A84" s="7"/>
      <c r="B84" s="7" t="str">
        <f>IF(A84="","",IFERROR(VLOOKUP($A84&amp;$L84,'On Hand Details'!$A$8:$L$219,COLUMN()+1,0),"Not Found"))</f>
        <v/>
      </c>
      <c r="C84" s="7" t="str">
        <f>IF(B84="","",IFERROR(VLOOKUP($A84&amp;$L84,'On Hand Details'!$A$8:$L$219,COLUMN()+1,0),"Not Found"))</f>
        <v/>
      </c>
      <c r="D84" s="7" t="str">
        <f>IF(C84="","",IFERROR(VLOOKUP($A84&amp;$L84,'On Hand Details'!$A$8:$L$219,COLUMN()+1,0),"Not Found"))</f>
        <v/>
      </c>
      <c r="E84" s="7" t="str">
        <f>IF(D84="","",IFERROR(VLOOKUP($A84&amp;$L84,'On Hand Details'!$A$8:$L$219,COLUMN()+1,0),"Not Found"))</f>
        <v/>
      </c>
      <c r="F84" s="7" t="str">
        <f>IF(E84="","",IFERROR(VLOOKUP($A84&amp;$L84,'On Hand Details'!$A$8:$L$219,COLUMN()+1,0),"Not Found"))</f>
        <v/>
      </c>
      <c r="G84" s="7" t="str">
        <f>IF(F84="","",IFERROR(VLOOKUP($A84&amp;$L84,'On Hand Details'!$A$8:$L$219,COLUMN()+1,0),"Not Found"))</f>
        <v/>
      </c>
      <c r="H84" s="7" t="str">
        <f>IF(G84="","",IFERROR(VLOOKUP($A84&amp;$L84,'On Hand Details'!$A$8:$L$219,COLUMN()+1,0),"Not Found"))</f>
        <v/>
      </c>
      <c r="I84" s="7" t="str">
        <f>IF(H84="","",IFERROR(VLOOKUP($A84&amp;$L84,'On Hand Details'!$A$8:$L$219,COLUMN()+1,0),"Not Found"))</f>
        <v/>
      </c>
      <c r="J84" s="7" t="str">
        <f>IF(I84="","",IFERROR(VLOOKUP($A84&amp;$L84,'On Hand Details'!$A$8:$L$219,COLUMN()+1,0),"Not Found"))</f>
        <v/>
      </c>
      <c r="K84" s="7" t="str">
        <f>IF(J84="","",IFERROR(VLOOKUP($A84&amp;$L84,'On Hand Details'!$A$8:$L$219,COLUMN()+1,0),"Not Found"))</f>
        <v/>
      </c>
      <c r="L84" s="7"/>
    </row>
    <row r="85" spans="1:12">
      <c r="A85" s="7"/>
      <c r="B85" s="7" t="str">
        <f>IF(A85="","",IFERROR(VLOOKUP($A85&amp;$L85,'On Hand Details'!$A$8:$L$219,COLUMN()+1,0),"Not Found"))</f>
        <v/>
      </c>
      <c r="C85" s="7" t="str">
        <f>IF(B85="","",IFERROR(VLOOKUP($A85&amp;$L85,'On Hand Details'!$A$8:$L$219,COLUMN()+1,0),"Not Found"))</f>
        <v/>
      </c>
      <c r="D85" s="7" t="str">
        <f>IF(C85="","",IFERROR(VLOOKUP($A85&amp;$L85,'On Hand Details'!$A$8:$L$219,COLUMN()+1,0),"Not Found"))</f>
        <v/>
      </c>
      <c r="E85" s="7" t="str">
        <f>IF(D85="","",IFERROR(VLOOKUP($A85&amp;$L85,'On Hand Details'!$A$8:$L$219,COLUMN()+1,0),"Not Found"))</f>
        <v/>
      </c>
      <c r="F85" s="7" t="str">
        <f>IF(E85="","",IFERROR(VLOOKUP($A85&amp;$L85,'On Hand Details'!$A$8:$L$219,COLUMN()+1,0),"Not Found"))</f>
        <v/>
      </c>
      <c r="G85" s="7" t="str">
        <f>IF(F85="","",IFERROR(VLOOKUP($A85&amp;$L85,'On Hand Details'!$A$8:$L$219,COLUMN()+1,0),"Not Found"))</f>
        <v/>
      </c>
      <c r="H85" s="7" t="str">
        <f>IF(G85="","",IFERROR(VLOOKUP($A85&amp;$L85,'On Hand Details'!$A$8:$L$219,COLUMN()+1,0),"Not Found"))</f>
        <v/>
      </c>
      <c r="I85" s="7" t="str">
        <f>IF(H85="","",IFERROR(VLOOKUP($A85&amp;$L85,'On Hand Details'!$A$8:$L$219,COLUMN()+1,0),"Not Found"))</f>
        <v/>
      </c>
      <c r="J85" s="7" t="str">
        <f>IF(I85="","",IFERROR(VLOOKUP($A85&amp;$L85,'On Hand Details'!$A$8:$L$219,COLUMN()+1,0),"Not Found"))</f>
        <v/>
      </c>
      <c r="K85" s="7" t="str">
        <f>IF(J85="","",IFERROR(VLOOKUP($A85&amp;$L85,'On Hand Details'!$A$8:$L$219,COLUMN()+1,0),"Not Found"))</f>
        <v/>
      </c>
      <c r="L85" s="7"/>
    </row>
    <row r="86" spans="1:12">
      <c r="A86" s="7"/>
      <c r="B86" s="7" t="str">
        <f>IF(A86="","",IFERROR(VLOOKUP($A86&amp;$L86,'On Hand Details'!$A$8:$L$219,COLUMN()+1,0),"Not Found"))</f>
        <v/>
      </c>
      <c r="C86" s="7" t="str">
        <f>IF(B86="","",IFERROR(VLOOKUP($A86&amp;$L86,'On Hand Details'!$A$8:$L$219,COLUMN()+1,0),"Not Found"))</f>
        <v/>
      </c>
      <c r="D86" s="7" t="str">
        <f>IF(C86="","",IFERROR(VLOOKUP($A86&amp;$L86,'On Hand Details'!$A$8:$L$219,COLUMN()+1,0),"Not Found"))</f>
        <v/>
      </c>
      <c r="E86" s="7" t="str">
        <f>IF(D86="","",IFERROR(VLOOKUP($A86&amp;$L86,'On Hand Details'!$A$8:$L$219,COLUMN()+1,0),"Not Found"))</f>
        <v/>
      </c>
      <c r="F86" s="7" t="str">
        <f>IF(E86="","",IFERROR(VLOOKUP($A86&amp;$L86,'On Hand Details'!$A$8:$L$219,COLUMN()+1,0),"Not Found"))</f>
        <v/>
      </c>
      <c r="G86" s="7" t="str">
        <f>IF(F86="","",IFERROR(VLOOKUP($A86&amp;$L86,'On Hand Details'!$A$8:$L$219,COLUMN()+1,0),"Not Found"))</f>
        <v/>
      </c>
      <c r="H86" s="7" t="str">
        <f>IF(G86="","",IFERROR(VLOOKUP($A86&amp;$L86,'On Hand Details'!$A$8:$L$219,COLUMN()+1,0),"Not Found"))</f>
        <v/>
      </c>
      <c r="I86" s="7" t="str">
        <f>IF(H86="","",IFERROR(VLOOKUP($A86&amp;$L86,'On Hand Details'!$A$8:$L$219,COLUMN()+1,0),"Not Found"))</f>
        <v/>
      </c>
      <c r="J86" s="7" t="str">
        <f>IF(I86="","",IFERROR(VLOOKUP($A86&amp;$L86,'On Hand Details'!$A$8:$L$219,COLUMN()+1,0),"Not Found"))</f>
        <v/>
      </c>
      <c r="K86" s="7" t="str">
        <f>IF(J86="","",IFERROR(VLOOKUP($A86&amp;$L86,'On Hand Details'!$A$8:$L$219,COLUMN()+1,0),"Not Found"))</f>
        <v/>
      </c>
      <c r="L86" s="7"/>
    </row>
    <row r="87" spans="1:12">
      <c r="A87" s="7"/>
      <c r="B87" s="7" t="str">
        <f>IF(A87="","",IFERROR(VLOOKUP($A87&amp;$L87,'On Hand Details'!$A$8:$L$219,COLUMN()+1,0),"Not Found"))</f>
        <v/>
      </c>
      <c r="C87" s="7" t="str">
        <f>IF(B87="","",IFERROR(VLOOKUP($A87&amp;$L87,'On Hand Details'!$A$8:$L$219,COLUMN()+1,0),"Not Found"))</f>
        <v/>
      </c>
      <c r="D87" s="7" t="str">
        <f>IF(C87="","",IFERROR(VLOOKUP($A87&amp;$L87,'On Hand Details'!$A$8:$L$219,COLUMN()+1,0),"Not Found"))</f>
        <v/>
      </c>
      <c r="E87" s="7" t="str">
        <f>IF(D87="","",IFERROR(VLOOKUP($A87&amp;$L87,'On Hand Details'!$A$8:$L$219,COLUMN()+1,0),"Not Found"))</f>
        <v/>
      </c>
      <c r="F87" s="7" t="str">
        <f>IF(E87="","",IFERROR(VLOOKUP($A87&amp;$L87,'On Hand Details'!$A$8:$L$219,COLUMN()+1,0),"Not Found"))</f>
        <v/>
      </c>
      <c r="G87" s="7" t="str">
        <f>IF(F87="","",IFERROR(VLOOKUP($A87&amp;$L87,'On Hand Details'!$A$8:$L$219,COLUMN()+1,0),"Not Found"))</f>
        <v/>
      </c>
      <c r="H87" s="7" t="str">
        <f>IF(G87="","",IFERROR(VLOOKUP($A87&amp;$L87,'On Hand Details'!$A$8:$L$219,COLUMN()+1,0),"Not Found"))</f>
        <v/>
      </c>
      <c r="I87" s="7" t="str">
        <f>IF(H87="","",IFERROR(VLOOKUP($A87&amp;$L87,'On Hand Details'!$A$8:$L$219,COLUMN()+1,0),"Not Found"))</f>
        <v/>
      </c>
      <c r="J87" s="7" t="str">
        <f>IF(I87="","",IFERROR(VLOOKUP($A87&amp;$L87,'On Hand Details'!$A$8:$L$219,COLUMN()+1,0),"Not Found"))</f>
        <v/>
      </c>
      <c r="K87" s="7" t="str">
        <f>IF(J87="","",IFERROR(VLOOKUP($A87&amp;$L87,'On Hand Details'!$A$8:$L$219,COLUMN()+1,0),"Not Found"))</f>
        <v/>
      </c>
      <c r="L87" s="7"/>
    </row>
    <row r="88" spans="1:12">
      <c r="A88" s="7"/>
      <c r="B88" s="7" t="str">
        <f>IF(A88="","",IFERROR(VLOOKUP($A88&amp;$L88,'On Hand Details'!$A$8:$L$219,COLUMN()+1,0),"Not Found"))</f>
        <v/>
      </c>
      <c r="C88" s="7" t="str">
        <f>IF(B88="","",IFERROR(VLOOKUP($A88&amp;$L88,'On Hand Details'!$A$8:$L$219,COLUMN()+1,0),"Not Found"))</f>
        <v/>
      </c>
      <c r="D88" s="7" t="str">
        <f>IF(C88="","",IFERROR(VLOOKUP($A88&amp;$L88,'On Hand Details'!$A$8:$L$219,COLUMN()+1,0),"Not Found"))</f>
        <v/>
      </c>
      <c r="E88" s="7" t="str">
        <f>IF(D88="","",IFERROR(VLOOKUP($A88&amp;$L88,'On Hand Details'!$A$8:$L$219,COLUMN()+1,0),"Not Found"))</f>
        <v/>
      </c>
      <c r="F88" s="7" t="str">
        <f>IF(E88="","",IFERROR(VLOOKUP($A88&amp;$L88,'On Hand Details'!$A$8:$L$219,COLUMN()+1,0),"Not Found"))</f>
        <v/>
      </c>
      <c r="G88" s="7" t="str">
        <f>IF(F88="","",IFERROR(VLOOKUP($A88&amp;$L88,'On Hand Details'!$A$8:$L$219,COLUMN()+1,0),"Not Found"))</f>
        <v/>
      </c>
      <c r="H88" s="7" t="str">
        <f>IF(G88="","",IFERROR(VLOOKUP($A88&amp;$L88,'On Hand Details'!$A$8:$L$219,COLUMN()+1,0),"Not Found"))</f>
        <v/>
      </c>
      <c r="I88" s="7" t="str">
        <f>IF(H88="","",IFERROR(VLOOKUP($A88&amp;$L88,'On Hand Details'!$A$8:$L$219,COLUMN()+1,0),"Not Found"))</f>
        <v/>
      </c>
      <c r="J88" s="7" t="str">
        <f>IF(I88="","",IFERROR(VLOOKUP($A88&amp;$L88,'On Hand Details'!$A$8:$L$219,COLUMN()+1,0),"Not Found"))</f>
        <v/>
      </c>
      <c r="K88" s="7" t="str">
        <f>IF(J88="","",IFERROR(VLOOKUP($A88&amp;$L88,'On Hand Details'!$A$8:$L$219,COLUMN()+1,0),"Not Found"))</f>
        <v/>
      </c>
      <c r="L88" s="7"/>
    </row>
    <row r="89" spans="1:12">
      <c r="A89" s="7"/>
      <c r="B89" s="7" t="str">
        <f>IF(A89="","",IFERROR(VLOOKUP($A89&amp;$L89,'On Hand Details'!$A$8:$L$219,COLUMN()+1,0),"Not Found"))</f>
        <v/>
      </c>
      <c r="C89" s="7" t="str">
        <f>IF(B89="","",IFERROR(VLOOKUP($A89&amp;$L89,'On Hand Details'!$A$8:$L$219,COLUMN()+1,0),"Not Found"))</f>
        <v/>
      </c>
      <c r="D89" s="7" t="str">
        <f>IF(C89="","",IFERROR(VLOOKUP($A89&amp;$L89,'On Hand Details'!$A$8:$L$219,COLUMN()+1,0),"Not Found"))</f>
        <v/>
      </c>
      <c r="E89" s="7" t="str">
        <f>IF(D89="","",IFERROR(VLOOKUP($A89&amp;$L89,'On Hand Details'!$A$8:$L$219,COLUMN()+1,0),"Not Found"))</f>
        <v/>
      </c>
      <c r="F89" s="7" t="str">
        <f>IF(E89="","",IFERROR(VLOOKUP($A89&amp;$L89,'On Hand Details'!$A$8:$L$219,COLUMN()+1,0),"Not Found"))</f>
        <v/>
      </c>
      <c r="G89" s="7" t="str">
        <f>IF(F89="","",IFERROR(VLOOKUP($A89&amp;$L89,'On Hand Details'!$A$8:$L$219,COLUMN()+1,0),"Not Found"))</f>
        <v/>
      </c>
      <c r="H89" s="7" t="str">
        <f>IF(G89="","",IFERROR(VLOOKUP($A89&amp;$L89,'On Hand Details'!$A$8:$L$219,COLUMN()+1,0),"Not Found"))</f>
        <v/>
      </c>
      <c r="I89" s="7" t="str">
        <f>IF(H89="","",IFERROR(VLOOKUP($A89&amp;$L89,'On Hand Details'!$A$8:$L$219,COLUMN()+1,0),"Not Found"))</f>
        <v/>
      </c>
      <c r="J89" s="7" t="str">
        <f>IF(I89="","",IFERROR(VLOOKUP($A89&amp;$L89,'On Hand Details'!$A$8:$L$219,COLUMN()+1,0),"Not Found"))</f>
        <v/>
      </c>
      <c r="K89" s="7" t="str">
        <f>IF(J89="","",IFERROR(VLOOKUP($A89&amp;$L89,'On Hand Details'!$A$8:$L$219,COLUMN()+1,0),"Not Found"))</f>
        <v/>
      </c>
      <c r="L89" s="7"/>
    </row>
    <row r="90" spans="1:12">
      <c r="A90" s="7"/>
      <c r="B90" s="7" t="str">
        <f>IF(A90="","",IFERROR(VLOOKUP($A90&amp;$L90,'On Hand Details'!$A$8:$L$219,COLUMN()+1,0),"Not Found"))</f>
        <v/>
      </c>
      <c r="C90" s="7" t="str">
        <f>IF(B90="","",IFERROR(VLOOKUP($A90&amp;$L90,'On Hand Details'!$A$8:$L$219,COLUMN()+1,0),"Not Found"))</f>
        <v/>
      </c>
      <c r="D90" s="7" t="str">
        <f>IF(C90="","",IFERROR(VLOOKUP($A90&amp;$L90,'On Hand Details'!$A$8:$L$219,COLUMN()+1,0),"Not Found"))</f>
        <v/>
      </c>
      <c r="E90" s="7" t="str">
        <f>IF(D90="","",IFERROR(VLOOKUP($A90&amp;$L90,'On Hand Details'!$A$8:$L$219,COLUMN()+1,0),"Not Found"))</f>
        <v/>
      </c>
      <c r="F90" s="7" t="str">
        <f>IF(E90="","",IFERROR(VLOOKUP($A90&amp;$L90,'On Hand Details'!$A$8:$L$219,COLUMN()+1,0),"Not Found"))</f>
        <v/>
      </c>
      <c r="G90" s="7" t="str">
        <f>IF(F90="","",IFERROR(VLOOKUP($A90&amp;$L90,'On Hand Details'!$A$8:$L$219,COLUMN()+1,0),"Not Found"))</f>
        <v/>
      </c>
      <c r="H90" s="7" t="str">
        <f>IF(G90="","",IFERROR(VLOOKUP($A90&amp;$L90,'On Hand Details'!$A$8:$L$219,COLUMN()+1,0),"Not Found"))</f>
        <v/>
      </c>
      <c r="I90" s="7" t="str">
        <f>IF(H90="","",IFERROR(VLOOKUP($A90&amp;$L90,'On Hand Details'!$A$8:$L$219,COLUMN()+1,0),"Not Found"))</f>
        <v/>
      </c>
      <c r="J90" s="7" t="str">
        <f>IF(I90="","",IFERROR(VLOOKUP($A90&amp;$L90,'On Hand Details'!$A$8:$L$219,COLUMN()+1,0),"Not Found"))</f>
        <v/>
      </c>
      <c r="K90" s="7" t="str">
        <f>IF(J90="","",IFERROR(VLOOKUP($A90&amp;$L90,'On Hand Details'!$A$8:$L$219,COLUMN()+1,0),"Not Found"))</f>
        <v/>
      </c>
      <c r="L90" s="7"/>
    </row>
    <row r="91" spans="1:12">
      <c r="A91" s="7"/>
      <c r="B91" s="7" t="str">
        <f>IF(A91="","",IFERROR(VLOOKUP($A91&amp;$L91,'On Hand Details'!$A$8:$L$219,COLUMN()+1,0),"Not Found"))</f>
        <v/>
      </c>
      <c r="C91" s="7" t="str">
        <f>IF(B91="","",IFERROR(VLOOKUP($A91&amp;$L91,'On Hand Details'!$A$8:$L$219,COLUMN()+1,0),"Not Found"))</f>
        <v/>
      </c>
      <c r="D91" s="7" t="str">
        <f>IF(C91="","",IFERROR(VLOOKUP($A91&amp;$L91,'On Hand Details'!$A$8:$L$219,COLUMN()+1,0),"Not Found"))</f>
        <v/>
      </c>
      <c r="E91" s="7" t="str">
        <f>IF(D91="","",IFERROR(VLOOKUP($A91&amp;$L91,'On Hand Details'!$A$8:$L$219,COLUMN()+1,0),"Not Found"))</f>
        <v/>
      </c>
      <c r="F91" s="7" t="str">
        <f>IF(E91="","",IFERROR(VLOOKUP($A91&amp;$L91,'On Hand Details'!$A$8:$L$219,COLUMN()+1,0),"Not Found"))</f>
        <v/>
      </c>
      <c r="G91" s="7" t="str">
        <f>IF(F91="","",IFERROR(VLOOKUP($A91&amp;$L91,'On Hand Details'!$A$8:$L$219,COLUMN()+1,0),"Not Found"))</f>
        <v/>
      </c>
      <c r="H91" s="7" t="str">
        <f>IF(G91="","",IFERROR(VLOOKUP($A91&amp;$L91,'On Hand Details'!$A$8:$L$219,COLUMN()+1,0),"Not Found"))</f>
        <v/>
      </c>
      <c r="I91" s="7" t="str">
        <f>IF(H91="","",IFERROR(VLOOKUP($A91&amp;$L91,'On Hand Details'!$A$8:$L$219,COLUMN()+1,0),"Not Found"))</f>
        <v/>
      </c>
      <c r="J91" s="7" t="str">
        <f>IF(I91="","",IFERROR(VLOOKUP($A91&amp;$L91,'On Hand Details'!$A$8:$L$219,COLUMN()+1,0),"Not Found"))</f>
        <v/>
      </c>
      <c r="K91" s="7" t="str">
        <f>IF(J91="","",IFERROR(VLOOKUP($A91&amp;$L91,'On Hand Details'!$A$8:$L$219,COLUMN()+1,0),"Not Found"))</f>
        <v/>
      </c>
      <c r="L91" s="7"/>
    </row>
    <row r="92" spans="1:12">
      <c r="A92" s="7"/>
      <c r="B92" s="7" t="str">
        <f>IF(A92="","",IFERROR(VLOOKUP($A92&amp;$L92,'On Hand Details'!$A$8:$L$219,COLUMN()+1,0),"Not Found"))</f>
        <v/>
      </c>
      <c r="C92" s="7" t="str">
        <f>IF(B92="","",IFERROR(VLOOKUP($A92&amp;$L92,'On Hand Details'!$A$8:$L$219,COLUMN()+1,0),"Not Found"))</f>
        <v/>
      </c>
      <c r="D92" s="7" t="str">
        <f>IF(C92="","",IFERROR(VLOOKUP($A92&amp;$L92,'On Hand Details'!$A$8:$L$219,COLUMN()+1,0),"Not Found"))</f>
        <v/>
      </c>
      <c r="E92" s="7" t="str">
        <f>IF(D92="","",IFERROR(VLOOKUP($A92&amp;$L92,'On Hand Details'!$A$8:$L$219,COLUMN()+1,0),"Not Found"))</f>
        <v/>
      </c>
      <c r="F92" s="7" t="str">
        <f>IF(E92="","",IFERROR(VLOOKUP($A92&amp;$L92,'On Hand Details'!$A$8:$L$219,COLUMN()+1,0),"Not Found"))</f>
        <v/>
      </c>
      <c r="G92" s="7" t="str">
        <f>IF(F92="","",IFERROR(VLOOKUP($A92&amp;$L92,'On Hand Details'!$A$8:$L$219,COLUMN()+1,0),"Not Found"))</f>
        <v/>
      </c>
      <c r="H92" s="7" t="str">
        <f>IF(G92="","",IFERROR(VLOOKUP($A92&amp;$L92,'On Hand Details'!$A$8:$L$219,COLUMN()+1,0),"Not Found"))</f>
        <v/>
      </c>
      <c r="I92" s="7" t="str">
        <f>IF(H92="","",IFERROR(VLOOKUP($A92&amp;$L92,'On Hand Details'!$A$8:$L$219,COLUMN()+1,0),"Not Found"))</f>
        <v/>
      </c>
      <c r="J92" s="7" t="str">
        <f>IF(I92="","",IFERROR(VLOOKUP($A92&amp;$L92,'On Hand Details'!$A$8:$L$219,COLUMN()+1,0),"Not Found"))</f>
        <v/>
      </c>
      <c r="K92" s="7" t="str">
        <f>IF(J92="","",IFERROR(VLOOKUP($A92&amp;$L92,'On Hand Details'!$A$8:$L$219,COLUMN()+1,0),"Not Found"))</f>
        <v/>
      </c>
      <c r="L92" s="7"/>
    </row>
    <row r="93" spans="1:12">
      <c r="A93" s="7"/>
      <c r="B93" s="7" t="str">
        <f>IF(A93="","",IFERROR(VLOOKUP($A93&amp;$L93,'On Hand Details'!$A$8:$L$219,COLUMN()+1,0),"Not Found"))</f>
        <v/>
      </c>
      <c r="C93" s="7" t="str">
        <f>IF(B93="","",IFERROR(VLOOKUP($A93&amp;$L93,'On Hand Details'!$A$8:$L$219,COLUMN()+1,0),"Not Found"))</f>
        <v/>
      </c>
      <c r="D93" s="7" t="str">
        <f>IF(C93="","",IFERROR(VLOOKUP($A93&amp;$L93,'On Hand Details'!$A$8:$L$219,COLUMN()+1,0),"Not Found"))</f>
        <v/>
      </c>
      <c r="E93" s="7" t="str">
        <f>IF(D93="","",IFERROR(VLOOKUP($A93&amp;$L93,'On Hand Details'!$A$8:$L$219,COLUMN()+1,0),"Not Found"))</f>
        <v/>
      </c>
      <c r="F93" s="7" t="str">
        <f>IF(E93="","",IFERROR(VLOOKUP($A93&amp;$L93,'On Hand Details'!$A$8:$L$219,COLUMN()+1,0),"Not Found"))</f>
        <v/>
      </c>
      <c r="G93" s="7" t="str">
        <f>IF(F93="","",IFERROR(VLOOKUP($A93&amp;$L93,'On Hand Details'!$A$8:$L$219,COLUMN()+1,0),"Not Found"))</f>
        <v/>
      </c>
      <c r="H93" s="7" t="str">
        <f>IF(G93="","",IFERROR(VLOOKUP($A93&amp;$L93,'On Hand Details'!$A$8:$L$219,COLUMN()+1,0),"Not Found"))</f>
        <v/>
      </c>
      <c r="I93" s="7" t="str">
        <f>IF(H93="","",IFERROR(VLOOKUP($A93&amp;$L93,'On Hand Details'!$A$8:$L$219,COLUMN()+1,0),"Not Found"))</f>
        <v/>
      </c>
      <c r="J93" s="7" t="str">
        <f>IF(I93="","",IFERROR(VLOOKUP($A93&amp;$L93,'On Hand Details'!$A$8:$L$219,COLUMN()+1,0),"Not Found"))</f>
        <v/>
      </c>
      <c r="K93" s="7" t="str">
        <f>IF(J93="","",IFERROR(VLOOKUP($A93&amp;$L93,'On Hand Details'!$A$8:$L$219,COLUMN()+1,0),"Not Found"))</f>
        <v/>
      </c>
      <c r="L93" s="7"/>
    </row>
    <row r="94" spans="1:12">
      <c r="A94" s="7"/>
      <c r="B94" s="7" t="str">
        <f>IF(A94="","",IFERROR(VLOOKUP($A94&amp;$L94,'On Hand Details'!$A$8:$L$219,COLUMN()+1,0),"Not Found"))</f>
        <v/>
      </c>
      <c r="C94" s="7" t="str">
        <f>IF(B94="","",IFERROR(VLOOKUP($A94&amp;$L94,'On Hand Details'!$A$8:$L$219,COLUMN()+1,0),"Not Found"))</f>
        <v/>
      </c>
      <c r="D94" s="7" t="str">
        <f>IF(C94="","",IFERROR(VLOOKUP($A94&amp;$L94,'On Hand Details'!$A$8:$L$219,COLUMN()+1,0),"Not Found"))</f>
        <v/>
      </c>
      <c r="E94" s="7" t="str">
        <f>IF(D94="","",IFERROR(VLOOKUP($A94&amp;$L94,'On Hand Details'!$A$8:$L$219,COLUMN()+1,0),"Not Found"))</f>
        <v/>
      </c>
      <c r="F94" s="7" t="str">
        <f>IF(E94="","",IFERROR(VLOOKUP($A94&amp;$L94,'On Hand Details'!$A$8:$L$219,COLUMN()+1,0),"Not Found"))</f>
        <v/>
      </c>
      <c r="G94" s="7" t="str">
        <f>IF(F94="","",IFERROR(VLOOKUP($A94&amp;$L94,'On Hand Details'!$A$8:$L$219,COLUMN()+1,0),"Not Found"))</f>
        <v/>
      </c>
      <c r="H94" s="7" t="str">
        <f>IF(G94="","",IFERROR(VLOOKUP($A94&amp;$L94,'On Hand Details'!$A$8:$L$219,COLUMN()+1,0),"Not Found"))</f>
        <v/>
      </c>
      <c r="I94" s="7" t="str">
        <f>IF(H94="","",IFERROR(VLOOKUP($A94&amp;$L94,'On Hand Details'!$A$8:$L$219,COLUMN()+1,0),"Not Found"))</f>
        <v/>
      </c>
      <c r="J94" s="7" t="str">
        <f>IF(I94="","",IFERROR(VLOOKUP($A94&amp;$L94,'On Hand Details'!$A$8:$L$219,COLUMN()+1,0),"Not Found"))</f>
        <v/>
      </c>
      <c r="K94" s="7" t="str">
        <f>IF(J94="","",IFERROR(VLOOKUP($A94&amp;$L94,'On Hand Details'!$A$8:$L$219,COLUMN()+1,0),"Not Found"))</f>
        <v/>
      </c>
      <c r="L94" s="7"/>
    </row>
    <row r="95" spans="1:12">
      <c r="A95" s="7"/>
      <c r="B95" s="7" t="str">
        <f>IF(A95="","",IFERROR(VLOOKUP($A95&amp;$L95,'On Hand Details'!$A$8:$L$219,COLUMN()+1,0),"Not Found"))</f>
        <v/>
      </c>
      <c r="C95" s="7" t="str">
        <f>IF(B95="","",IFERROR(VLOOKUP($A95&amp;$L95,'On Hand Details'!$A$8:$L$219,COLUMN()+1,0),"Not Found"))</f>
        <v/>
      </c>
      <c r="D95" s="7" t="str">
        <f>IF(C95="","",IFERROR(VLOOKUP($A95&amp;$L95,'On Hand Details'!$A$8:$L$219,COLUMN()+1,0),"Not Found"))</f>
        <v/>
      </c>
      <c r="E95" s="7" t="str">
        <f>IF(D95="","",IFERROR(VLOOKUP($A95&amp;$L95,'On Hand Details'!$A$8:$L$219,COLUMN()+1,0),"Not Found"))</f>
        <v/>
      </c>
      <c r="F95" s="7" t="str">
        <f>IF(E95="","",IFERROR(VLOOKUP($A95&amp;$L95,'On Hand Details'!$A$8:$L$219,COLUMN()+1,0),"Not Found"))</f>
        <v/>
      </c>
      <c r="G95" s="7" t="str">
        <f>IF(F95="","",IFERROR(VLOOKUP($A95&amp;$L95,'On Hand Details'!$A$8:$L$219,COLUMN()+1,0),"Not Found"))</f>
        <v/>
      </c>
      <c r="H95" s="7" t="str">
        <f>IF(G95="","",IFERROR(VLOOKUP($A95&amp;$L95,'On Hand Details'!$A$8:$L$219,COLUMN()+1,0),"Not Found"))</f>
        <v/>
      </c>
      <c r="I95" s="7" t="str">
        <f>IF(H95="","",IFERROR(VLOOKUP($A95&amp;$L95,'On Hand Details'!$A$8:$L$219,COLUMN()+1,0),"Not Found"))</f>
        <v/>
      </c>
      <c r="J95" s="7" t="str">
        <f>IF(I95="","",IFERROR(VLOOKUP($A95&amp;$L95,'On Hand Details'!$A$8:$L$219,COLUMN()+1,0),"Not Found"))</f>
        <v/>
      </c>
      <c r="K95" s="7" t="str">
        <f>IF(J95="","",IFERROR(VLOOKUP($A95&amp;$L95,'On Hand Details'!$A$8:$L$219,COLUMN()+1,0),"Not Found"))</f>
        <v/>
      </c>
      <c r="L95" s="7"/>
    </row>
    <row r="96" spans="1:12">
      <c r="A96" s="7"/>
      <c r="B96" s="7" t="str">
        <f>IF(A96="","",IFERROR(VLOOKUP($A96&amp;$L96,'On Hand Details'!$A$8:$L$219,COLUMN()+1,0),"Not Found"))</f>
        <v/>
      </c>
      <c r="C96" s="7" t="str">
        <f>IF(B96="","",IFERROR(VLOOKUP($A96&amp;$L96,'On Hand Details'!$A$8:$L$219,COLUMN()+1,0),"Not Found"))</f>
        <v/>
      </c>
      <c r="D96" s="7" t="str">
        <f>IF(C96="","",IFERROR(VLOOKUP($A96&amp;$L96,'On Hand Details'!$A$8:$L$219,COLUMN()+1,0),"Not Found"))</f>
        <v/>
      </c>
      <c r="E96" s="7" t="str">
        <f>IF(D96="","",IFERROR(VLOOKUP($A96&amp;$L96,'On Hand Details'!$A$8:$L$219,COLUMN()+1,0),"Not Found"))</f>
        <v/>
      </c>
      <c r="F96" s="7" t="str">
        <f>IF(E96="","",IFERROR(VLOOKUP($A96&amp;$L96,'On Hand Details'!$A$8:$L$219,COLUMN()+1,0),"Not Found"))</f>
        <v/>
      </c>
      <c r="G96" s="7" t="str">
        <f>IF(F96="","",IFERROR(VLOOKUP($A96&amp;$L96,'On Hand Details'!$A$8:$L$219,COLUMN()+1,0),"Not Found"))</f>
        <v/>
      </c>
      <c r="H96" s="7" t="str">
        <f>IF(G96="","",IFERROR(VLOOKUP($A96&amp;$L96,'On Hand Details'!$A$8:$L$219,COLUMN()+1,0),"Not Found"))</f>
        <v/>
      </c>
      <c r="I96" s="7" t="str">
        <f>IF(H96="","",IFERROR(VLOOKUP($A96&amp;$L96,'On Hand Details'!$A$8:$L$219,COLUMN()+1,0),"Not Found"))</f>
        <v/>
      </c>
      <c r="J96" s="7" t="str">
        <f>IF(I96="","",IFERROR(VLOOKUP($A96&amp;$L96,'On Hand Details'!$A$8:$L$219,COLUMN()+1,0),"Not Found"))</f>
        <v/>
      </c>
      <c r="K96" s="7" t="str">
        <f>IF(J96="","",IFERROR(VLOOKUP($A96&amp;$L96,'On Hand Details'!$A$8:$L$219,COLUMN()+1,0),"Not Found"))</f>
        <v/>
      </c>
      <c r="L96" s="7"/>
    </row>
    <row r="97" spans="1:12">
      <c r="A97" s="7"/>
      <c r="B97" s="7" t="str">
        <f>IF(A97="","",IFERROR(VLOOKUP($A97&amp;$L97,'On Hand Details'!$A$8:$L$219,COLUMN()+1,0),"Not Found"))</f>
        <v/>
      </c>
      <c r="C97" s="7" t="str">
        <f>IF(B97="","",IFERROR(VLOOKUP($A97&amp;$L97,'On Hand Details'!$A$8:$L$219,COLUMN()+1,0),"Not Found"))</f>
        <v/>
      </c>
      <c r="D97" s="7" t="str">
        <f>IF(C97="","",IFERROR(VLOOKUP($A97&amp;$L97,'On Hand Details'!$A$8:$L$219,COLUMN()+1,0),"Not Found"))</f>
        <v/>
      </c>
      <c r="E97" s="7" t="str">
        <f>IF(D97="","",IFERROR(VLOOKUP($A97&amp;$L97,'On Hand Details'!$A$8:$L$219,COLUMN()+1,0),"Not Found"))</f>
        <v/>
      </c>
      <c r="F97" s="7" t="str">
        <f>IF(E97="","",IFERROR(VLOOKUP($A97&amp;$L97,'On Hand Details'!$A$8:$L$219,COLUMN()+1,0),"Not Found"))</f>
        <v/>
      </c>
      <c r="G97" s="7" t="str">
        <f>IF(F97="","",IFERROR(VLOOKUP($A97&amp;$L97,'On Hand Details'!$A$8:$L$219,COLUMN()+1,0),"Not Found"))</f>
        <v/>
      </c>
      <c r="H97" s="7" t="str">
        <f>IF(G97="","",IFERROR(VLOOKUP($A97&amp;$L97,'On Hand Details'!$A$8:$L$219,COLUMN()+1,0),"Not Found"))</f>
        <v/>
      </c>
      <c r="I97" s="7" t="str">
        <f>IF(H97="","",IFERROR(VLOOKUP($A97&amp;$L97,'On Hand Details'!$A$8:$L$219,COLUMN()+1,0),"Not Found"))</f>
        <v/>
      </c>
      <c r="J97" s="7" t="str">
        <f>IF(I97="","",IFERROR(VLOOKUP($A97&amp;$L97,'On Hand Details'!$A$8:$L$219,COLUMN()+1,0),"Not Found"))</f>
        <v/>
      </c>
      <c r="K97" s="7" t="str">
        <f>IF(J97="","",IFERROR(VLOOKUP($A97&amp;$L97,'On Hand Details'!$A$8:$L$219,COLUMN()+1,0),"Not Found"))</f>
        <v/>
      </c>
      <c r="L97" s="7"/>
    </row>
    <row r="98" spans="1:12">
      <c r="A98" s="7"/>
      <c r="B98" s="7" t="str">
        <f>IF(A98="","",IFERROR(VLOOKUP($A98&amp;$L98,'On Hand Details'!$A$8:$L$219,COLUMN()+1,0),"Not Found"))</f>
        <v/>
      </c>
      <c r="C98" s="7" t="str">
        <f>IF(B98="","",IFERROR(VLOOKUP($A98&amp;$L98,'On Hand Details'!$A$8:$L$219,COLUMN()+1,0),"Not Found"))</f>
        <v/>
      </c>
      <c r="D98" s="7" t="str">
        <f>IF(C98="","",IFERROR(VLOOKUP($A98&amp;$L98,'On Hand Details'!$A$8:$L$219,COLUMN()+1,0),"Not Found"))</f>
        <v/>
      </c>
      <c r="E98" s="7" t="str">
        <f>IF(D98="","",IFERROR(VLOOKUP($A98&amp;$L98,'On Hand Details'!$A$8:$L$219,COLUMN()+1,0),"Not Found"))</f>
        <v/>
      </c>
      <c r="F98" s="7" t="str">
        <f>IF(E98="","",IFERROR(VLOOKUP($A98&amp;$L98,'On Hand Details'!$A$8:$L$219,COLUMN()+1,0),"Not Found"))</f>
        <v/>
      </c>
      <c r="G98" s="7" t="str">
        <f>IF(F98="","",IFERROR(VLOOKUP($A98&amp;$L98,'On Hand Details'!$A$8:$L$219,COLUMN()+1,0),"Not Found"))</f>
        <v/>
      </c>
      <c r="H98" s="7" t="str">
        <f>IF(G98="","",IFERROR(VLOOKUP($A98&amp;$L98,'On Hand Details'!$A$8:$L$219,COLUMN()+1,0),"Not Found"))</f>
        <v/>
      </c>
      <c r="I98" s="7" t="str">
        <f>IF(H98="","",IFERROR(VLOOKUP($A98&amp;$L98,'On Hand Details'!$A$8:$L$219,COLUMN()+1,0),"Not Found"))</f>
        <v/>
      </c>
      <c r="J98" s="7" t="str">
        <f>IF(I98="","",IFERROR(VLOOKUP($A98&amp;$L98,'On Hand Details'!$A$8:$L$219,COLUMN()+1,0),"Not Found"))</f>
        <v/>
      </c>
      <c r="K98" s="7" t="str">
        <f>IF(J98="","",IFERROR(VLOOKUP($A98&amp;$L98,'On Hand Details'!$A$8:$L$219,COLUMN()+1,0),"Not Found"))</f>
        <v/>
      </c>
      <c r="L98" s="7"/>
    </row>
    <row r="99" spans="1:12">
      <c r="A99" s="7"/>
      <c r="B99" s="7" t="str">
        <f>IF(A99="","",IFERROR(VLOOKUP($A99&amp;$L99,'On Hand Details'!$A$8:$L$219,COLUMN()+1,0),"Not Found"))</f>
        <v/>
      </c>
      <c r="C99" s="7" t="str">
        <f>IF(B99="","",IFERROR(VLOOKUP($A99&amp;$L99,'On Hand Details'!$A$8:$L$219,COLUMN()+1,0),"Not Found"))</f>
        <v/>
      </c>
      <c r="D99" s="7" t="str">
        <f>IF(C99="","",IFERROR(VLOOKUP($A99&amp;$L99,'On Hand Details'!$A$8:$L$219,COLUMN()+1,0),"Not Found"))</f>
        <v/>
      </c>
      <c r="E99" s="7" t="str">
        <f>IF(D99="","",IFERROR(VLOOKUP($A99&amp;$L99,'On Hand Details'!$A$8:$L$219,COLUMN()+1,0),"Not Found"))</f>
        <v/>
      </c>
      <c r="F99" s="7" t="str">
        <f>IF(E99="","",IFERROR(VLOOKUP($A99&amp;$L99,'On Hand Details'!$A$8:$L$219,COLUMN()+1,0),"Not Found"))</f>
        <v/>
      </c>
      <c r="G99" s="7" t="str">
        <f>IF(F99="","",IFERROR(VLOOKUP($A99&amp;$L99,'On Hand Details'!$A$8:$L$219,COLUMN()+1,0),"Not Found"))</f>
        <v/>
      </c>
      <c r="H99" s="7" t="str">
        <f>IF(G99="","",IFERROR(VLOOKUP($A99&amp;$L99,'On Hand Details'!$A$8:$L$219,COLUMN()+1,0),"Not Found"))</f>
        <v/>
      </c>
      <c r="I99" s="7" t="str">
        <f>IF(H99="","",IFERROR(VLOOKUP($A99&amp;$L99,'On Hand Details'!$A$8:$L$219,COLUMN()+1,0),"Not Found"))</f>
        <v/>
      </c>
      <c r="J99" s="7" t="str">
        <f>IF(I99="","",IFERROR(VLOOKUP($A99&amp;$L99,'On Hand Details'!$A$8:$L$219,COLUMN()+1,0),"Not Found"))</f>
        <v/>
      </c>
      <c r="K99" s="7" t="str">
        <f>IF(J99="","",IFERROR(VLOOKUP($A99&amp;$L99,'On Hand Details'!$A$8:$L$219,COLUMN()+1,0),"Not Found"))</f>
        <v/>
      </c>
      <c r="L99" s="7"/>
    </row>
    <row r="100" spans="1:12">
      <c r="A100" s="7"/>
      <c r="B100" s="7" t="str">
        <f>IF(A100="","",IFERROR(VLOOKUP($A100&amp;$L100,'On Hand Details'!$A$8:$L$219,COLUMN()+1,0),"Not Found"))</f>
        <v/>
      </c>
      <c r="C100" s="7" t="str">
        <f>IF(B100="","",IFERROR(VLOOKUP($A100&amp;$L100,'On Hand Details'!$A$8:$L$219,COLUMN()+1,0),"Not Found"))</f>
        <v/>
      </c>
      <c r="D100" s="7" t="str">
        <f>IF(C100="","",IFERROR(VLOOKUP($A100&amp;$L100,'On Hand Details'!$A$8:$L$219,COLUMN()+1,0),"Not Found"))</f>
        <v/>
      </c>
      <c r="E100" s="7" t="str">
        <f>IF(D100="","",IFERROR(VLOOKUP($A100&amp;$L100,'On Hand Details'!$A$8:$L$219,COLUMN()+1,0),"Not Found"))</f>
        <v/>
      </c>
      <c r="F100" s="7" t="str">
        <f>IF(E100="","",IFERROR(VLOOKUP($A100&amp;$L100,'On Hand Details'!$A$8:$L$219,COLUMN()+1,0),"Not Found"))</f>
        <v/>
      </c>
      <c r="G100" s="7" t="str">
        <f>IF(F100="","",IFERROR(VLOOKUP($A100&amp;$L100,'On Hand Details'!$A$8:$L$219,COLUMN()+1,0),"Not Found"))</f>
        <v/>
      </c>
      <c r="H100" s="7" t="str">
        <f>IF(G100="","",IFERROR(VLOOKUP($A100&amp;$L100,'On Hand Details'!$A$8:$L$219,COLUMN()+1,0),"Not Found"))</f>
        <v/>
      </c>
      <c r="I100" s="7" t="str">
        <f>IF(H100="","",IFERROR(VLOOKUP($A100&amp;$L100,'On Hand Details'!$A$8:$L$219,COLUMN()+1,0),"Not Found"))</f>
        <v/>
      </c>
      <c r="J100" s="7" t="str">
        <f>IF(I100="","",IFERROR(VLOOKUP($A100&amp;$L100,'On Hand Details'!$A$8:$L$219,COLUMN()+1,0),"Not Found"))</f>
        <v/>
      </c>
      <c r="K100" s="7" t="str">
        <f>IF(J100="","",IFERROR(VLOOKUP($A100&amp;$L100,'On Hand Details'!$A$8:$L$219,COLUMN()+1,0),"Not Found"))</f>
        <v/>
      </c>
      <c r="L100" s="7"/>
    </row>
    <row r="101" spans="1:12">
      <c r="A101" s="7"/>
      <c r="B101" s="7" t="str">
        <f>IF(A101="","",IFERROR(VLOOKUP($A101&amp;$L101,'On Hand Details'!$A$8:$L$219,COLUMN()+1,0),"Not Found"))</f>
        <v/>
      </c>
      <c r="C101" s="7" t="str">
        <f>IF(B101="","",IFERROR(VLOOKUP($A101&amp;$L101,'On Hand Details'!$A$8:$L$219,COLUMN()+1,0),"Not Found"))</f>
        <v/>
      </c>
      <c r="D101" s="7" t="str">
        <f>IF(C101="","",IFERROR(VLOOKUP($A101&amp;$L101,'On Hand Details'!$A$8:$L$219,COLUMN()+1,0),"Not Found"))</f>
        <v/>
      </c>
      <c r="E101" s="7" t="str">
        <f>IF(D101="","",IFERROR(VLOOKUP($A101&amp;$L101,'On Hand Details'!$A$8:$L$219,COLUMN()+1,0),"Not Found"))</f>
        <v/>
      </c>
      <c r="F101" s="7" t="str">
        <f>IF(E101="","",IFERROR(VLOOKUP($A101&amp;$L101,'On Hand Details'!$A$8:$L$219,COLUMN()+1,0),"Not Found"))</f>
        <v/>
      </c>
      <c r="G101" s="7" t="str">
        <f>IF(F101="","",IFERROR(VLOOKUP($A101&amp;$L101,'On Hand Details'!$A$8:$L$219,COLUMN()+1,0),"Not Found"))</f>
        <v/>
      </c>
      <c r="H101" s="7" t="str">
        <f>IF(G101="","",IFERROR(VLOOKUP($A101&amp;$L101,'On Hand Details'!$A$8:$L$219,COLUMN()+1,0),"Not Found"))</f>
        <v/>
      </c>
      <c r="I101" s="7" t="str">
        <f>IF(H101="","",IFERROR(VLOOKUP($A101&amp;$L101,'On Hand Details'!$A$8:$L$219,COLUMN()+1,0),"Not Found"))</f>
        <v/>
      </c>
      <c r="J101" s="7" t="str">
        <f>IF(I101="","",IFERROR(VLOOKUP($A101&amp;$L101,'On Hand Details'!$A$8:$L$219,COLUMN()+1,0),"Not Found"))</f>
        <v/>
      </c>
      <c r="K101" s="7" t="str">
        <f>IF(J101="","",IFERROR(VLOOKUP($A101&amp;$L101,'On Hand Details'!$A$8:$L$219,COLUMN()+1,0),"Not Found"))</f>
        <v/>
      </c>
      <c r="L101" s="7"/>
    </row>
    <row r="102" spans="1:12">
      <c r="A102" s="7"/>
      <c r="B102" s="7" t="str">
        <f>IF(A102="","",IFERROR(VLOOKUP($A102&amp;$L102,'On Hand Details'!$A$8:$L$219,COLUMN()+1,0),"Not Found"))</f>
        <v/>
      </c>
      <c r="C102" s="7" t="str">
        <f>IF(B102="","",IFERROR(VLOOKUP($A102&amp;$L102,'On Hand Details'!$A$8:$L$219,COLUMN()+1,0),"Not Found"))</f>
        <v/>
      </c>
      <c r="D102" s="7" t="str">
        <f>IF(C102="","",IFERROR(VLOOKUP($A102&amp;$L102,'On Hand Details'!$A$8:$L$219,COLUMN()+1,0),"Not Found"))</f>
        <v/>
      </c>
      <c r="E102" s="7" t="str">
        <f>IF(D102="","",IFERROR(VLOOKUP($A102&amp;$L102,'On Hand Details'!$A$8:$L$219,COLUMN()+1,0),"Not Found"))</f>
        <v/>
      </c>
      <c r="F102" s="7" t="str">
        <f>IF(E102="","",IFERROR(VLOOKUP($A102&amp;$L102,'On Hand Details'!$A$8:$L$219,COLUMN()+1,0),"Not Found"))</f>
        <v/>
      </c>
      <c r="G102" s="7" t="str">
        <f>IF(F102="","",IFERROR(VLOOKUP($A102&amp;$L102,'On Hand Details'!$A$8:$L$219,COLUMN()+1,0),"Not Found"))</f>
        <v/>
      </c>
      <c r="H102" s="7" t="str">
        <f>IF(G102="","",IFERROR(VLOOKUP($A102&amp;$L102,'On Hand Details'!$A$8:$L$219,COLUMN()+1,0),"Not Found"))</f>
        <v/>
      </c>
      <c r="I102" s="7" t="str">
        <f>IF(H102="","",IFERROR(VLOOKUP($A102&amp;$L102,'On Hand Details'!$A$8:$L$219,COLUMN()+1,0),"Not Found"))</f>
        <v/>
      </c>
      <c r="J102" s="7" t="str">
        <f>IF(I102="","",IFERROR(VLOOKUP($A102&amp;$L102,'On Hand Details'!$A$8:$L$219,COLUMN()+1,0),"Not Found"))</f>
        <v/>
      </c>
      <c r="K102" s="7" t="str">
        <f>IF(J102="","",IFERROR(VLOOKUP($A102&amp;$L102,'On Hand Details'!$A$8:$L$219,COLUMN()+1,0),"Not Found"))</f>
        <v/>
      </c>
      <c r="L102" s="7"/>
    </row>
  </sheetData>
  <mergeCells count="5">
    <mergeCell ref="A1:K1"/>
    <mergeCell ref="A2:K2"/>
    <mergeCell ref="A3:K3"/>
    <mergeCell ref="A4:K4"/>
    <mergeCell ref="A7:K7"/>
  </mergeCells>
  <conditionalFormatting sqref="M9:M19">
    <cfRule type="expression" dxfId="1" priority="6">
      <formula>M9-I9=0</formula>
    </cfRule>
  </conditionalFormatting>
  <conditionalFormatting sqref="A9:L102">
    <cfRule type="expression" dxfId="0" priority="1">
      <formula>$A9&gt;0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Imported Data</vt:lpstr>
      <vt:lpstr>Check Report</vt:lpstr>
      <vt:lpstr>Material Transaction</vt:lpstr>
      <vt:lpstr>Check Mat Trans</vt:lpstr>
      <vt:lpstr>Ledger Summery</vt:lpstr>
      <vt:lpstr>Check ILS</vt:lpstr>
      <vt:lpstr>On Hand Details</vt:lpstr>
      <vt:lpstr>Check OHD</vt:lpstr>
      <vt:lpstr>BurstingOracleDB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Ripon</dc:creator>
  <cp:lastModifiedBy>Ripon</cp:lastModifiedBy>
  <dcterms:created xsi:type="dcterms:W3CDTF">2023-09-02T11:30:00Z</dcterms:created>
  <dcterms:modified xsi:type="dcterms:W3CDTF">2024-04-17T06:13:45Z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4693A69FEDB649A8951AF0772ED7CE9F_12</vt:lpwstr>
  </property>
  <property fmtid="{D5CDD505-2E9C-101B-9397-08002B2CF9AE}" pid="3" name="KSOProductBuildVer">
    <vt:lpwstr>1033-12.2.0.13359</vt:lpwstr>
  </property>
</Properties>
</file>